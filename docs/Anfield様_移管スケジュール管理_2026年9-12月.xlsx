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週間スケジュール" sheetId="1" state="visible" r:id="rId1"/>
    <sheet name="ガントチャート" sheetId="2" state="visible" r:id="rId2"/>
    <sheet name="案件進捗管理" sheetId="3" state="hidden" r:id="rId3"/>
    <sheet name="キャパシティ・必要人数" sheetId="4" state="visible" r:id="rId4"/>
    <sheet name="KPI" sheetId="5" state="visible" r:id="rId5"/>
  </sheets>
  <definedNames>
    <definedName name="_xlnm._FilterDatabase" localSheetId="0" hidden="1">'週間スケジュール'!$A$7:$O$24</definedName>
    <definedName name="_xlnm._FilterDatabase" localSheetId="2" hidden="1">'案件進捗管理'!$A$4:$Z$115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0.0"/>
    <numFmt numFmtId="165" formatCode="0.0%"/>
    <numFmt numFmtId="166" formatCode="0.0&quot;h&quot;"/>
    <numFmt numFmtId="167" formatCode="0.0&quot;h&quot;;-0.0&quot;h&quot;;"/>
    <numFmt numFmtId="168" formatCode="0&quot;h&quot;"/>
    <numFmt numFmtId="169" formatCode="0&quot;名&quot;"/>
    <numFmt numFmtId="170" formatCode="m/d"/>
    <numFmt numFmtId="171" formatCode="yyyy/m/d"/>
    <numFmt numFmtId="172" formatCode="0&quot;社&quot;"/>
    <numFmt numFmtId="173" formatCode="0&quot;日&quot;"/>
    <numFmt numFmtId="174" formatCode="0.0&quot;社/週&quot;"/>
    <numFmt numFmtId="175" formatCode="0&quot;社/月&quot;"/>
    <numFmt numFmtId="176" formatCode="0.0&quot;社/人&quot;"/>
    <numFmt numFmtId="177" formatCode="yyyy-mm-dd"/>
    <numFmt numFmtId="178" formatCode="+0&quot;社&quot;;-0&quot;社&quot;;0"/>
  </numFmts>
  <fonts count="99">
    <font>
      <name val="Calibri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4"/>
    </font>
    <font/>
    <font>
      <name val="Arial"/>
      <color rgb="FF595959"/>
      <sz val="9"/>
    </font>
    <font>
      <name val="Arial"/>
      <b val="1"/>
      <color rgb="FF9C0006"/>
      <sz val="9"/>
    </font>
    <font>
      <name val="Arial"/>
      <b val="1"/>
      <color rgb="FF000000"/>
      <sz val="8"/>
      <u val="single"/>
    </font>
    <font>
      <name val="Arial"/>
      <b val="1"/>
      <color rgb="FF8A4B00"/>
      <sz val="9"/>
    </font>
    <font>
      <name val="Arial"/>
      <b val="1"/>
      <color rgb="FFFFFFFF"/>
      <sz val="11"/>
    </font>
    <font>
      <name val="Arial"/>
      <b val="1"/>
      <color rgb="FF000000"/>
      <sz val="16"/>
    </font>
    <font>
      <name val="Calibri"/>
      <color theme="1"/>
      <scheme val="minor"/>
    </font>
    <font>
      <name val="Arial"/>
      <b val="1"/>
      <color rgb="FFFFFFFF"/>
      <sz val="9"/>
    </font>
    <font>
      <name val="Arial"/>
      <b val="1"/>
      <color rgb="FF000000"/>
      <sz val="10"/>
    </font>
    <font>
      <name val="Arial"/>
      <b val="1"/>
      <color rgb="FF0000FF"/>
      <sz val="12"/>
    </font>
    <font>
      <name val="Arial"/>
      <b val="1"/>
      <color rgb="FF595959"/>
      <sz val="9"/>
    </font>
    <font>
      <name val="Calibri"/>
      <color theme="1"/>
      <sz val="11"/>
    </font>
    <font>
      <name val="Arial"/>
      <b val="1"/>
      <color rgb="FF000000"/>
      <sz val="9"/>
    </font>
    <font>
      <name val="Arial"/>
      <color rgb="FF8A6100"/>
      <sz val="9"/>
    </font>
    <font>
      <name val="Arial"/>
      <b val="1"/>
      <color rgb="FF8A6100"/>
      <sz val="9"/>
    </font>
    <font>
      <name val="Arial"/>
      <b val="1"/>
      <color rgb="FF1E6B34"/>
      <sz val="9"/>
    </font>
    <font>
      <name val="Arial"/>
      <b val="1"/>
      <color rgb="FF1F3864"/>
      <sz val="10"/>
    </font>
    <font>
      <name val="Arial"/>
      <b val="1"/>
      <color rgb="FF1E6B34"/>
      <sz val="10"/>
    </font>
    <font>
      <name val="Arial"/>
      <b val="1"/>
      <color rgb="FF2E4A7D"/>
      <sz val="10"/>
    </font>
    <font>
      <name val="Arial"/>
      <color rgb="FF000000"/>
      <sz val="9"/>
    </font>
    <font>
      <name val="Arial"/>
      <b val="1"/>
      <color rgb="FFFFFFFF"/>
      <sz val="8"/>
    </font>
    <font>
      <name val="Arial"/>
      <b val="1"/>
      <color rgb="FF2E4A7D"/>
      <sz val="9"/>
    </font>
    <font>
      <name val="Arial"/>
      <b val="1"/>
      <color rgb="FF1E6B34"/>
      <sz val="8"/>
    </font>
    <font>
      <name val="Arial"/>
      <b val="1"/>
      <color rgb="FF2E4A7D"/>
      <sz val="11"/>
    </font>
    <font>
      <name val="Arial"/>
      <b val="1"/>
      <color rgb="FF8A4B00"/>
      <sz val="8"/>
    </font>
    <font>
      <name val="Arial"/>
      <b val="1"/>
      <color rgb="FFFFD9D9"/>
      <sz val="8"/>
    </font>
    <font>
      <name val="Arial"/>
      <b val="1"/>
      <color rgb="FF2E4A7D"/>
      <sz val="13"/>
    </font>
    <font>
      <name val="Arial"/>
      <b val="1"/>
      <color rgb="FF0000FF"/>
      <sz val="9"/>
    </font>
    <font>
      <name val="Arial"/>
      <b val="1"/>
      <color rgb="FFFFFFFF"/>
      <sz val="10"/>
    </font>
    <font>
      <name val="Arial"/>
      <b val="1"/>
      <color rgb="FF2E4A7D"/>
      <sz val="12"/>
    </font>
    <font>
      <name val="Arial"/>
      <b val="1"/>
      <color rgb="FF2E4A7D"/>
      <sz val="20"/>
    </font>
    <font>
      <name val="Arial"/>
      <color rgb="FF595959"/>
      <sz val="8"/>
    </font>
    <font>
      <name val="Arial"/>
      <b val="1"/>
      <color rgb="FF3F6B22"/>
      <sz val="20"/>
    </font>
    <font>
      <name val="Arial"/>
      <b val="1"/>
      <color rgb="FF1E6B34"/>
      <sz val="20"/>
    </font>
    <font>
      <name val="Arial"/>
      <b val="1"/>
      <color rgb="FF9C0006"/>
      <sz val="20"/>
    </font>
    <font>
      <name val="Arial"/>
      <b val="1"/>
      <color rgb="FF8A4B00"/>
      <sz val="20"/>
    </font>
    <font>
      <name val="Arial"/>
      <color rgb="FF000000"/>
      <sz val="10"/>
    </font>
    <font>
      <name val="Arial"/>
      <b val="1"/>
      <color rgb="FF0000FF"/>
      <sz val="11"/>
    </font>
    <font>
      <name val="Arial"/>
      <b val="1"/>
      <color rgb="FF3F6B22"/>
      <sz val="11"/>
    </font>
    <font>
      <name val="Arial"/>
      <b val="1"/>
      <color rgb="FF595959"/>
      <sz val="12"/>
    </font>
    <font>
      <name val="Arial"/>
      <b val="1"/>
      <color rgb="FF8A4B00"/>
      <sz val="12"/>
    </font>
    <font>
      <name val="Arial"/>
      <b val="1"/>
      <color rgb="FF1F4E79"/>
      <sz val="12"/>
    </font>
    <font>
      <name val="Arial"/>
      <b val="1"/>
      <color rgb="FF8A6100"/>
      <sz val="12"/>
    </font>
    <font>
      <name val="Arial"/>
      <b val="1"/>
      <color rgb="FF3F6B22"/>
      <sz val="12"/>
    </font>
    <font>
      <name val="Arial"/>
      <b val="1"/>
      <color rgb="FF1E6B34"/>
      <sz val="12"/>
    </font>
    <font>
      <name val="Arial"/>
      <b val="1"/>
      <color rgb="FF1F4E79"/>
      <sz val="11"/>
    </font>
    <font>
      <name val="Arial"/>
      <b val="1"/>
      <color rgb="FF8A4B00"/>
      <sz val="11"/>
    </font>
    <font>
      <name val="Arial"/>
      <b val="1"/>
      <color rgb="00FFFFFF"/>
      <sz val="16"/>
    </font>
    <font>
      <name val="Arial"/>
      <color rgb="00595959"/>
      <sz val="9"/>
    </font>
    <font>
      <name val="Arial"/>
      <b val="1"/>
      <color rgb="009C0006"/>
      <sz val="9"/>
    </font>
    <font>
      <name val="Arial"/>
      <b val="1"/>
      <color rgb="008A4B00"/>
      <sz val="9"/>
    </font>
    <font>
      <name val="Arial"/>
      <b val="1"/>
      <color rgb="00595959"/>
      <sz val="9"/>
    </font>
    <font>
      <name val="Arial"/>
      <b val="1"/>
      <color rgb="001F3864"/>
      <sz val="10"/>
    </font>
    <font>
      <name val="Arial"/>
      <b val="1"/>
      <color rgb="001E6B34"/>
      <sz val="10"/>
    </font>
    <font>
      <name val="Arial"/>
      <b val="1"/>
      <color rgb="008A4B00"/>
      <sz val="10"/>
    </font>
    <font>
      <name val="Arial"/>
      <b val="1"/>
      <color rgb="009C3F00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FFD9D9"/>
      <sz val="8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FF"/>
      <sz val="9"/>
    </font>
    <font>
      <name val="Arial"/>
      <b val="1"/>
      <color rgb="001E6B34"/>
      <sz val="8"/>
    </font>
    <font>
      <name val="Arial"/>
      <b val="1"/>
      <color rgb="005B3A87"/>
      <sz val="8"/>
    </font>
    <font>
      <name val="Arial"/>
      <b val="1"/>
      <color rgb="008A4B00"/>
      <sz val="8"/>
    </font>
    <font>
      <name val="Arial"/>
      <b val="1"/>
      <color rgb="009C0006"/>
      <sz val="8"/>
    </font>
    <font>
      <name val="Arial"/>
      <b val="1"/>
      <color rgb="001E6B34"/>
      <sz val="9"/>
    </font>
    <font>
      <name val="Arial"/>
      <b val="1"/>
      <color rgb="005B3A87"/>
      <sz val="9"/>
    </font>
    <font>
      <name val="Arial"/>
      <b val="1"/>
      <color rgb="002E4A7D"/>
      <sz val="9"/>
    </font>
    <font>
      <name val="Arial"/>
      <b val="1"/>
      <color rgb="009C3F0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0000FF"/>
      <sz val="12"/>
    </font>
    <font>
      <name val="Arial"/>
      <b val="1"/>
      <color rgb="002E4A7D"/>
      <sz val="11"/>
    </font>
    <font>
      <name val="Arial"/>
      <b val="1"/>
      <color rgb="002E4A7D"/>
      <sz val="10"/>
    </font>
    <font>
      <name val="Arial"/>
      <b val="1"/>
      <color rgb="002E4A7D"/>
      <sz val="13"/>
    </font>
    <font>
      <name val="Arial"/>
      <b val="1"/>
      <color rgb="002E4A7D"/>
      <sz val="12"/>
    </font>
    <font>
      <name val="Arial"/>
      <b val="1"/>
      <color rgb="000000FF"/>
      <sz val="11"/>
    </font>
    <font>
      <name val="Arial"/>
      <color rgb="00595959"/>
      <sz val="8"/>
    </font>
    <font>
      <name val="Arial"/>
      <b val="1"/>
      <color rgb="002E4A7D"/>
      <sz val="20"/>
    </font>
    <font>
      <name val="Arial"/>
      <b val="1"/>
      <color rgb="003F6B22"/>
      <sz val="20"/>
    </font>
    <font>
      <name val="Arial"/>
      <b val="1"/>
      <color rgb="001E6B34"/>
      <sz val="20"/>
    </font>
    <font>
      <name val="Arial"/>
      <b val="1"/>
      <color rgb="009C0006"/>
      <sz val="20"/>
    </font>
    <font>
      <name val="Arial"/>
      <b val="1"/>
      <color rgb="008A4B00"/>
      <sz val="20"/>
    </font>
    <font>
      <name val="Arial"/>
      <color rgb="00000000"/>
      <sz val="10"/>
    </font>
    <font>
      <name val="Arial"/>
      <b val="1"/>
      <color rgb="003F6B22"/>
      <sz val="11"/>
    </font>
    <font>
      <name val="Arial"/>
      <b val="1"/>
      <color rgb="00FFFFFF"/>
      <sz val="10"/>
    </font>
    <font>
      <name val="Arial"/>
      <b val="1"/>
      <color rgb="00595959"/>
      <sz val="12"/>
    </font>
    <font>
      <name val="Arial"/>
      <b val="1"/>
      <color rgb="008A4B00"/>
      <sz val="12"/>
    </font>
    <font>
      <name val="Arial"/>
      <b val="1"/>
      <color rgb="001F4E79"/>
      <sz val="12"/>
    </font>
    <font>
      <name val="Arial"/>
      <b val="1"/>
      <color rgb="008A6100"/>
      <sz val="12"/>
    </font>
    <font>
      <name val="Arial"/>
      <b val="1"/>
      <color rgb="003F6B22"/>
      <sz val="12"/>
    </font>
    <font>
      <name val="Arial"/>
      <b val="1"/>
      <color rgb="001E6B34"/>
      <sz val="12"/>
    </font>
    <font>
      <name val="Arial"/>
      <b val="1"/>
      <color rgb="001F4E79"/>
      <sz val="11"/>
    </font>
    <font>
      <name val="Arial"/>
      <b val="1"/>
      <color rgb="008A4B00"/>
      <sz val="11"/>
    </font>
  </fonts>
  <fills count="6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DEDEE"/>
        <bgColor rgb="FFFDEDEE"/>
      </patternFill>
    </fill>
    <fill>
      <patternFill patternType="solid">
        <fgColor rgb="FFFFF2CC"/>
        <bgColor rgb="FFFFF2CC"/>
      </patternFill>
    </fill>
    <fill>
      <patternFill patternType="solid">
        <fgColor rgb="FF2E4A7D"/>
        <bgColor rgb="FF2E4A7D"/>
      </patternFill>
    </fill>
    <fill>
      <patternFill patternType="solid">
        <fgColor rgb="FFFFF7E0"/>
        <bgColor rgb="FFFFF7E0"/>
      </patternFill>
    </fill>
    <fill>
      <patternFill patternType="solid">
        <fgColor rgb="FFBFBFBF"/>
        <bgColor rgb="FFBFBFBF"/>
      </patternFill>
    </fill>
    <fill>
      <patternFill patternType="solid">
        <fgColor rgb="FF7C60A8"/>
        <bgColor rgb="FF7C60A8"/>
      </patternFill>
    </fill>
    <fill>
      <patternFill patternType="solid">
        <fgColor rgb="FF2E75B6"/>
        <bgColor rgb="FF2E75B6"/>
      </patternFill>
    </fill>
    <fill>
      <patternFill patternType="solid">
        <fgColor rgb="FF9DC3E6"/>
        <bgColor rgb="FF9DC3E6"/>
      </patternFill>
    </fill>
    <fill>
      <patternFill patternType="solid">
        <fgColor rgb="FF70AD47"/>
        <bgColor rgb="FF70AD47"/>
      </patternFill>
    </fill>
    <fill>
      <patternFill patternType="solid">
        <fgColor rgb="FFFCE4D6"/>
        <bgColor rgb="FFFCE4D6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7F9FC"/>
        <bgColor rgb="FFF7F9FC"/>
      </patternFill>
    </fill>
    <fill>
      <patternFill patternType="solid">
        <fgColor rgb="FFFFFDF5"/>
        <bgColor rgb="FFFFFDF5"/>
      </patternFill>
    </fill>
    <fill>
      <patternFill patternType="solid">
        <fgColor rgb="FFFFD966"/>
        <bgColor rgb="FFFFD966"/>
      </patternFill>
    </fill>
    <fill>
      <patternFill patternType="solid">
        <fgColor rgb="FFEDF2FA"/>
        <bgColor rgb="FFEDF2FA"/>
      </patternFill>
    </fill>
    <fill>
      <patternFill patternType="solid">
        <fgColor rgb="FFEFEFEF"/>
        <bgColor rgb="FFEFEFEF"/>
      </patternFill>
    </fill>
    <fill>
      <patternFill patternType="solid">
        <fgColor rgb="FF3F6B22"/>
        <bgColor rgb="FF3F6B22"/>
      </patternFill>
    </fill>
    <fill>
      <patternFill patternType="solid">
        <fgColor rgb="FF1E6B34"/>
        <bgColor rgb="FF1E6B34"/>
      </patternFill>
    </fill>
    <fill>
      <patternFill patternType="solid">
        <fgColor rgb="FF9C0006"/>
        <bgColor rgb="FF9C0006"/>
      </patternFill>
    </fill>
    <fill>
      <patternFill patternType="solid">
        <fgColor rgb="FF8A4B00"/>
        <bgColor rgb="FF8A4B00"/>
      </patternFill>
    </fill>
    <fill>
      <patternFill patternType="solid">
        <fgColor rgb="FFE7E7E7"/>
        <bgColor rgb="FFE7E7E7"/>
      </patternFill>
    </fill>
    <fill>
      <patternFill patternType="solid">
        <fgColor rgb="FFFFE0C2"/>
        <bgColor rgb="FFFFE0C2"/>
      </patternFill>
    </fill>
    <fill>
      <patternFill patternType="solid">
        <fgColor rgb="FFBDD7EE"/>
        <bgColor rgb="FFBDD7EE"/>
      </patternFill>
    </fill>
    <fill>
      <patternFill patternType="solid">
        <fgColor rgb="FFFFEB9C"/>
        <bgColor rgb="FFFFEB9C"/>
      </patternFill>
    </fill>
    <fill>
      <patternFill patternType="solid">
        <fgColor rgb="FFD5EAC5"/>
        <bgColor rgb="FFD5EAC5"/>
      </patternFill>
    </fill>
    <fill>
      <patternFill patternType="solid">
        <fgColor rgb="FFC6EFCE"/>
        <bgColor rgb="FFC6EFCE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DEDEE"/>
      </patternFill>
    </fill>
    <fill>
      <patternFill patternType="solid">
        <fgColor rgb="00FFF2CC"/>
      </patternFill>
    </fill>
    <fill>
      <patternFill patternType="solid">
        <fgColor rgb="00BFBFBF"/>
      </patternFill>
    </fill>
    <fill>
      <patternFill patternType="solid">
        <fgColor rgb="007C60A8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4A7D"/>
      </patternFill>
    </fill>
    <fill>
      <patternFill patternType="solid">
        <fgColor rgb="00FFF7E0"/>
      </patternFill>
    </fill>
    <fill>
      <patternFill patternType="solid">
        <fgColor rgb="00EFEFEF"/>
      </patternFill>
    </fill>
    <fill>
      <patternFill patternType="solid">
        <fgColor rgb="00FFD966"/>
      </patternFill>
    </fill>
    <fill>
      <patternFill patternType="solid">
        <fgColor rgb="00EDF2FA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3F6B22"/>
      </patternFill>
    </fill>
    <fill>
      <patternFill patternType="solid">
        <fgColor rgb="001E6B34"/>
      </patternFill>
    </fill>
    <fill>
      <patternFill patternType="solid">
        <fgColor rgb="009C0006"/>
      </patternFill>
    </fill>
    <fill>
      <patternFill patternType="solid">
        <fgColor rgb="008A4B00"/>
      </patternFill>
    </fill>
    <fill>
      <patternFill patternType="solid">
        <fgColor rgb="00FFFFFF"/>
      </patternFill>
    </fill>
    <fill>
      <patternFill patternType="solid">
        <fgColor rgb="00E7E7E7"/>
      </patternFill>
    </fill>
    <fill>
      <patternFill patternType="solid">
        <fgColor rgb="00FFE0C2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5EAC5"/>
      </patternFill>
    </fill>
    <fill>
      <patternFill patternType="solid">
        <fgColor rgb="00C6EFCE"/>
      </patternFill>
    </fill>
  </fills>
  <borders count="162">
    <border/>
    <border>
      <left/>
      <top/>
      <bottom/>
    </border>
    <border>
      <top/>
      <bottom/>
    </border>
    <border>
      <right/>
      <top/>
      <bottom/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B4C6E7"/>
      </left>
      <right style="thin">
        <color rgb="FFB4C6E7"/>
      </right>
      <top style="thin">
        <color rgb="FFB4C6E7"/>
      </top>
    </border>
    <border>
      <left style="thin">
        <color rgb="FFB4C6E7"/>
      </left>
      <right style="thin">
        <color rgb="FFB4C6E7"/>
      </right>
    </border>
    <border>
      <left style="medium">
        <color rgb="FF1E6B34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medium">
        <color rgb="FF8A4B00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bottom style="thin">
        <color rgb="FFB4C6E7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medium">
        <color rgb="FF1E6B34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medium">
        <color rgb="FF8A4B00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thin">
        <color rgb="FFB4C6E7"/>
      </left>
      <top style="thin">
        <color rgb="FFB4C6E7"/>
      </top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  <bottom style="thin">
        <color rgb="FFB4C6E7"/>
      </bottom>
    </border>
    <border>
      <bottom style="thin">
        <color rgb="FFB4C6E7"/>
      </bottom>
    </border>
    <border>
      <right style="thin">
        <color rgb="FFB4C6E7"/>
      </right>
      <bottom style="thin">
        <color rgb="FFB4C6E7"/>
      </bottom>
    </border>
    <border>
      <left style="medium">
        <color rgb="FF2E4A7D"/>
      </left>
      <top style="medium">
        <color rgb="FF2E4A7D"/>
      </top>
      <bottom style="thin">
        <color rgb="FFEDF2FA"/>
      </bottom>
    </border>
    <border>
      <top style="medium">
        <color rgb="FF2E4A7D"/>
      </top>
      <bottom style="thin">
        <color rgb="FFEDF2FA"/>
      </bottom>
    </border>
    <border>
      <right style="medium">
        <color rgb="FF2E4A7D"/>
      </right>
      <top style="medium">
        <color rgb="FF2E4A7D"/>
      </top>
      <bottom style="thin">
        <color rgb="FFEDF2FA"/>
      </bottom>
    </border>
    <border>
      <left style="medium">
        <color rgb="FF2E4A7D"/>
      </left>
      <top style="thin">
        <color rgb="FFEDF2FA"/>
      </top>
      <bottom style="thin">
        <color rgb="FFEDF2FA"/>
      </bottom>
    </border>
    <border>
      <top style="thin">
        <color rgb="FFEDF2FA"/>
      </top>
      <bottom style="thin">
        <color rgb="FFEDF2FA"/>
      </bottom>
    </border>
    <border>
      <right style="medium">
        <color rgb="FF2E4A7D"/>
      </right>
      <top style="thin">
        <color rgb="FFEDF2FA"/>
      </top>
      <bottom style="thin">
        <color rgb="FFEDF2FA"/>
      </bottom>
    </border>
    <border>
      <left style="medium">
        <color rgb="FF2E4A7D"/>
      </left>
      <top style="thin">
        <color rgb="FFEDF2FA"/>
      </top>
      <bottom style="medium">
        <color rgb="FF2E4A7D"/>
      </bottom>
    </border>
    <border>
      <top style="thin">
        <color rgb="FFEDF2FA"/>
      </top>
      <bottom style="medium">
        <color rgb="FF2E4A7D"/>
      </bottom>
    </border>
    <border>
      <right style="medium">
        <color rgb="FF2E4A7D"/>
      </right>
      <top style="thin">
        <color rgb="FFEDF2FA"/>
      </top>
      <bottom style="medium">
        <color rgb="FF2E4A7D"/>
      </bottom>
    </border>
    <border>
      <left style="medium">
        <color rgb="FF3F6B22"/>
      </left>
      <top style="medium">
        <color rgb="FF3F6B22"/>
      </top>
      <bottom style="thin">
        <color rgb="FFEDF2FA"/>
      </bottom>
    </border>
    <border>
      <top style="medium">
        <color rgb="FF3F6B22"/>
      </top>
      <bottom style="thin">
        <color rgb="FFEDF2FA"/>
      </bottom>
    </border>
    <border>
      <right style="medium">
        <color rgb="FF3F6B22"/>
      </right>
      <top style="medium">
        <color rgb="FF3F6B22"/>
      </top>
      <bottom style="thin">
        <color rgb="FFEDF2FA"/>
      </bottom>
    </border>
    <border>
      <left style="medium">
        <color rgb="FF1E6B34"/>
      </left>
      <top style="medium">
        <color rgb="FF1E6B34"/>
      </top>
      <bottom style="thin">
        <color rgb="FFEDF2FA"/>
      </bottom>
    </border>
    <border>
      <top style="medium">
        <color rgb="FF1E6B34"/>
      </top>
      <bottom style="thin">
        <color rgb="FFEDF2FA"/>
      </bottom>
    </border>
    <border>
      <right style="medium">
        <color rgb="FF1E6B34"/>
      </right>
      <top style="medium">
        <color rgb="FF1E6B34"/>
      </top>
      <bottom style="thin">
        <color rgb="FFEDF2FA"/>
      </bottom>
    </border>
    <border>
      <left style="medium">
        <color rgb="FF3F6B22"/>
      </left>
      <top style="thin">
        <color rgb="FFEDF2FA"/>
      </top>
      <bottom style="thin">
        <color rgb="FFEDF2FA"/>
      </bottom>
    </border>
    <border>
      <right style="medium">
        <color rgb="FF3F6B22"/>
      </right>
      <top style="thin">
        <color rgb="FFEDF2FA"/>
      </top>
      <bottom style="thin">
        <color rgb="FFEDF2FA"/>
      </bottom>
    </border>
    <border>
      <left style="medium">
        <color rgb="FF1E6B34"/>
      </left>
      <top style="thin">
        <color rgb="FFEDF2FA"/>
      </top>
      <bottom style="thin">
        <color rgb="FFEDF2FA"/>
      </bottom>
    </border>
    <border>
      <right style="medium">
        <color rgb="FF1E6B34"/>
      </right>
      <top style="thin">
        <color rgb="FFEDF2FA"/>
      </top>
      <bottom style="thin">
        <color rgb="FFEDF2FA"/>
      </bottom>
    </border>
    <border>
      <left style="medium">
        <color rgb="FF3F6B22"/>
      </left>
      <top style="thin">
        <color rgb="FFEDF2FA"/>
      </top>
      <bottom style="medium">
        <color rgb="FF3F6B22"/>
      </bottom>
    </border>
    <border>
      <top style="thin">
        <color rgb="FFEDF2FA"/>
      </top>
      <bottom style="medium">
        <color rgb="FF3F6B22"/>
      </bottom>
    </border>
    <border>
      <right style="medium">
        <color rgb="FF3F6B22"/>
      </right>
      <top style="thin">
        <color rgb="FFEDF2FA"/>
      </top>
      <bottom style="medium">
        <color rgb="FF3F6B22"/>
      </bottom>
    </border>
    <border>
      <left style="medium">
        <color rgb="FF1E6B34"/>
      </left>
      <top style="thin">
        <color rgb="FFEDF2FA"/>
      </top>
      <bottom style="medium">
        <color rgb="FF1E6B34"/>
      </bottom>
    </border>
    <border>
      <top style="thin">
        <color rgb="FFEDF2FA"/>
      </top>
      <bottom style="medium">
        <color rgb="FF1E6B34"/>
      </bottom>
    </border>
    <border>
      <right style="medium">
        <color rgb="FF1E6B34"/>
      </right>
      <top style="thin">
        <color rgb="FFEDF2FA"/>
      </top>
      <bottom style="medium">
        <color rgb="FF1E6B34"/>
      </bottom>
    </border>
    <border>
      <left style="medium">
        <color rgb="FF9C0006"/>
      </left>
      <top style="medium">
        <color rgb="FF9C0006"/>
      </top>
      <bottom style="thin">
        <color rgb="FFEDF2FA"/>
      </bottom>
    </border>
    <border>
      <top style="medium">
        <color rgb="FF9C0006"/>
      </top>
      <bottom style="thin">
        <color rgb="FFEDF2FA"/>
      </bottom>
    </border>
    <border>
      <right style="medium">
        <color rgb="FF9C0006"/>
      </right>
      <top style="medium">
        <color rgb="FF9C0006"/>
      </top>
      <bottom style="thin">
        <color rgb="FFEDF2FA"/>
      </bottom>
    </border>
    <border>
      <left style="medium">
        <color rgb="FF8A4B00"/>
      </left>
      <top style="medium">
        <color rgb="FF8A4B00"/>
      </top>
      <bottom style="thin">
        <color rgb="FFEDF2FA"/>
      </bottom>
    </border>
    <border>
      <top style="medium">
        <color rgb="FF8A4B00"/>
      </top>
      <bottom style="thin">
        <color rgb="FFEDF2FA"/>
      </bottom>
    </border>
    <border>
      <right style="medium">
        <color rgb="FF8A4B00"/>
      </right>
      <top style="medium">
        <color rgb="FF8A4B00"/>
      </top>
      <bottom style="thin">
        <color rgb="FFEDF2FA"/>
      </bottom>
    </border>
    <border>
      <left style="medium">
        <color rgb="FF9C0006"/>
      </left>
      <top style="thin">
        <color rgb="FFEDF2FA"/>
      </top>
      <bottom style="thin">
        <color rgb="FFEDF2FA"/>
      </bottom>
    </border>
    <border>
      <right style="medium">
        <color rgb="FF9C0006"/>
      </right>
      <top style="thin">
        <color rgb="FFEDF2FA"/>
      </top>
      <bottom style="thin">
        <color rgb="FFEDF2FA"/>
      </bottom>
    </border>
    <border>
      <left style="medium">
        <color rgb="FF8A4B00"/>
      </left>
      <top style="thin">
        <color rgb="FFEDF2FA"/>
      </top>
      <bottom style="thin">
        <color rgb="FFEDF2FA"/>
      </bottom>
    </border>
    <border>
      <right style="medium">
        <color rgb="FF8A4B00"/>
      </right>
      <top style="thin">
        <color rgb="FFEDF2FA"/>
      </top>
      <bottom style="thin">
        <color rgb="FFEDF2FA"/>
      </bottom>
    </border>
    <border>
      <left style="medium">
        <color rgb="FF9C0006"/>
      </left>
      <top style="thin">
        <color rgb="FFEDF2FA"/>
      </top>
      <bottom style="medium">
        <color rgb="FF9C0006"/>
      </bottom>
    </border>
    <border>
      <top style="thin">
        <color rgb="FFEDF2FA"/>
      </top>
      <bottom style="medium">
        <color rgb="FF9C0006"/>
      </bottom>
    </border>
    <border>
      <right style="medium">
        <color rgb="FF9C0006"/>
      </right>
      <top style="thin">
        <color rgb="FFEDF2FA"/>
      </top>
      <bottom style="medium">
        <color rgb="FF9C0006"/>
      </bottom>
    </border>
    <border>
      <left style="medium">
        <color rgb="FF8A4B00"/>
      </left>
      <top style="thin">
        <color rgb="FFEDF2FA"/>
      </top>
      <bottom style="medium">
        <color rgb="FF8A4B00"/>
      </bottom>
    </border>
    <border>
      <top style="thin">
        <color rgb="FFEDF2FA"/>
      </top>
      <bottom style="medium">
        <color rgb="FF8A4B00"/>
      </bottom>
    </border>
    <border>
      <right style="medium">
        <color rgb="FF8A4B00"/>
      </right>
      <top style="thin">
        <color rgb="FFEDF2FA"/>
      </top>
      <bottom style="medium">
        <color rgb="FF8A4B00"/>
      </bottom>
    </border>
    <border>
      <left/>
      <right/>
      <top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bottom/>
    </border>
    <border>
      <left/>
      <right/>
      <top/>
      <bottom/>
    </border>
    <border>
      <left style="thin">
        <color rgb="FFB4C6E7"/>
      </left>
    </border>
    <border>
      <right style="thin">
        <color rgb="FFB4C6E7"/>
      </right>
    </border>
    <border>
      <left style="medium">
        <color rgb="FF2E4A7D"/>
      </left>
      <right style="medium">
        <color rgb="FF2E4A7D"/>
      </right>
      <top style="thin">
        <color rgb="FFEDF2FA"/>
      </top>
      <bottom style="medium">
        <color rgb="FF2E4A7D"/>
      </bottom>
    </border>
    <border>
      <top style="thin">
        <color rgb="FFEDF2FA"/>
      </top>
    </border>
    <border>
      <right style="medium">
        <color rgb="FF2E4A7D"/>
      </right>
      <top style="thin">
        <color rgb="FFEDF2FA"/>
      </top>
    </border>
    <border>
      <left style="medium">
        <color rgb="FF2E4A7D"/>
      </left>
      <right style="medium">
        <color rgb="FF2E4A7D"/>
      </right>
      <top style="medium">
        <color rgb="FF2E4A7D"/>
      </top>
      <bottom style="thin">
        <color rgb="FFEDF2FA"/>
      </bottom>
    </border>
    <border>
      <top style="medium">
        <color rgb="FF2E4A7D"/>
      </top>
    </border>
    <border>
      <right style="medium">
        <color rgb="FF2E4A7D"/>
      </right>
      <top style="medium">
        <color rgb="FF2E4A7D"/>
      </top>
    </border>
    <border>
      <left style="medium">
        <color rgb="FF2E4A7D"/>
      </left>
      <right style="medium">
        <color rgb="FF2E4A7D"/>
      </right>
      <top style="thin">
        <color rgb="FFEDF2FA"/>
      </top>
      <bottom style="thin">
        <color rgb="FFEDF2FA"/>
      </bottom>
    </border>
    <border>
      <left style="medium">
        <color rgb="FF3F6B22"/>
      </left>
      <right style="medium">
        <color rgb="FF3F6B22"/>
      </right>
      <top style="medium">
        <color rgb="FF3F6B22"/>
      </top>
      <bottom style="thin">
        <color rgb="FFEDF2FA"/>
      </bottom>
    </border>
    <border>
      <top style="medium">
        <color rgb="FF3F6B22"/>
      </top>
    </border>
    <border>
      <right style="medium">
        <color rgb="FF3F6B22"/>
      </right>
      <top style="medium">
        <color rgb="FF3F6B22"/>
      </top>
    </border>
    <border>
      <left style="medium">
        <color rgb="FF3F6B22"/>
      </left>
      <right style="medium">
        <color rgb="FF3F6B22"/>
      </right>
      <top style="thin">
        <color rgb="FFEDF2FA"/>
      </top>
      <bottom style="thin">
        <color rgb="FFEDF2FA"/>
      </bottom>
    </border>
    <border>
      <right style="medium">
        <color rgb="FF3F6B22"/>
      </right>
      <top style="thin">
        <color rgb="FFEDF2FA"/>
      </top>
    </border>
    <border>
      <left style="medium">
        <color rgb="FF3F6B22"/>
      </left>
      <right style="medium">
        <color rgb="FF3F6B22"/>
      </right>
      <top style="thin">
        <color rgb="FFEDF2FA"/>
      </top>
      <bottom style="medium">
        <color rgb="FF3F6B22"/>
      </bottom>
    </border>
    <border>
      <left style="medium">
        <color rgb="FF1E6B34"/>
      </left>
      <right style="medium">
        <color rgb="FF1E6B34"/>
      </right>
      <top style="thin">
        <color rgb="FFEDF2FA"/>
      </top>
      <bottom style="thin">
        <color rgb="FFEDF2FA"/>
      </bottom>
    </border>
    <border>
      <right style="medium">
        <color rgb="FF1E6B34"/>
      </right>
      <top style="thin">
        <color rgb="FFEDF2FA"/>
      </top>
    </border>
    <border>
      <left style="medium">
        <color rgb="FF1E6B34"/>
      </left>
      <right style="medium">
        <color rgb="FF1E6B34"/>
      </right>
      <top style="thin">
        <color rgb="FFEDF2FA"/>
      </top>
      <bottom style="medium">
        <color rgb="FF1E6B34"/>
      </bottom>
    </border>
    <border>
      <left style="medium">
        <color rgb="FF8A4B00"/>
      </left>
      <right style="medium">
        <color rgb="FF8A4B00"/>
      </right>
      <top style="medium">
        <color rgb="FF8A4B00"/>
      </top>
      <bottom style="thin">
        <color rgb="FFEDF2FA"/>
      </bottom>
    </border>
    <border>
      <top style="medium">
        <color rgb="FF8A4B00"/>
      </top>
    </border>
    <border>
      <right style="medium">
        <color rgb="FF8A4B00"/>
      </right>
      <top style="medium">
        <color rgb="FF8A4B00"/>
      </top>
    </border>
    <border>
      <left style="medium">
        <color rgb="FF8A4B00"/>
      </left>
      <right style="medium">
        <color rgb="FF8A4B00"/>
      </right>
      <top style="thin">
        <color rgb="FFEDF2FA"/>
      </top>
      <bottom style="thin">
        <color rgb="FFEDF2FA"/>
      </bottom>
    </border>
    <border>
      <right style="medium">
        <color rgb="FF8A4B00"/>
      </right>
      <top style="thin">
        <color rgb="FFEDF2FA"/>
      </top>
    </border>
    <border>
      <left style="medium">
        <color rgb="FF8A4B00"/>
      </left>
      <right style="medium">
        <color rgb="FF8A4B00"/>
      </right>
      <top style="thin">
        <color rgb="FFEDF2FA"/>
      </top>
      <bottom style="medium">
        <color rgb="FF8A4B00"/>
      </bottom>
    </border>
    <border>
      <left style="medium">
        <color rgb="FF9C0006"/>
      </left>
      <right style="medium">
        <color rgb="FF9C0006"/>
      </right>
      <top style="medium">
        <color rgb="FF9C0006"/>
      </top>
      <bottom style="thin">
        <color rgb="FFEDF2FA"/>
      </bottom>
    </border>
    <border>
      <top style="medium">
        <color rgb="FF9C0006"/>
      </top>
    </border>
    <border>
      <right style="medium">
        <color rgb="FF9C0006"/>
      </right>
      <top style="medium">
        <color rgb="FF9C0006"/>
      </top>
    </border>
    <border>
      <left style="medium">
        <color rgb="FF9C0006"/>
      </left>
      <right style="medium">
        <color rgb="FF9C0006"/>
      </right>
      <top style="thin">
        <color rgb="FFEDF2FA"/>
      </top>
      <bottom style="thin">
        <color rgb="FFEDF2FA"/>
      </bottom>
    </border>
    <border>
      <right style="medium">
        <color rgb="FF9C0006"/>
      </right>
      <top style="thin">
        <color rgb="FFEDF2FA"/>
      </top>
    </border>
    <border>
      <left style="medium">
        <color rgb="FF9C0006"/>
      </left>
      <right style="medium">
        <color rgb="FF9C0006"/>
      </right>
      <top style="thin">
        <color rgb="FFEDF2FA"/>
      </top>
      <bottom style="medium">
        <color rgb="FF9C0006"/>
      </bottom>
    </border>
    <border>
      <left style="medium">
        <color rgb="FF1E6B34"/>
      </left>
      <right style="medium">
        <color rgb="FF1E6B34"/>
      </right>
      <top style="medium">
        <color rgb="FF1E6B34"/>
      </top>
      <bottom style="thin">
        <color rgb="FFEDF2FA"/>
      </bottom>
    </border>
    <border>
      <top style="medium">
        <color rgb="FF1E6B34"/>
      </top>
    </border>
    <border>
      <right style="medium">
        <color rgb="FF1E6B34"/>
      </right>
      <top style="medium">
        <color rgb="FF1E6B34"/>
      </top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1E6B34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1E6B34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5B3A8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5B3A87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8A4B00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8A4B00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9C0006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9C0006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2E4A7D"/>
      </left>
      <right style="thin">
        <color rgb="00EDF2FA"/>
      </right>
      <top style="medium">
        <color rgb="002E4A7D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2E4A7D"/>
      </top>
      <bottom style="thin">
        <color rgb="00EDF2FA"/>
      </bottom>
    </border>
    <border>
      <left style="thin">
        <color rgb="00EDF2FA"/>
      </left>
      <right style="medium">
        <color rgb="002E4A7D"/>
      </right>
      <top style="medium">
        <color rgb="002E4A7D"/>
      </top>
      <bottom style="thin">
        <color rgb="00EDF2FA"/>
      </bottom>
    </border>
    <border>
      <left style="medium">
        <color rgb="002E4A7D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2E4A7D"/>
      </right>
      <top style="thin">
        <color rgb="00EDF2FA"/>
      </top>
      <bottom style="thin">
        <color rgb="00EDF2FA"/>
      </bottom>
    </border>
    <border>
      <left style="medium">
        <color rgb="002E4A7D"/>
      </left>
      <right style="thin">
        <color rgb="00EDF2FA"/>
      </right>
      <top style="thin">
        <color rgb="00EDF2FA"/>
      </top>
      <bottom style="medium">
        <color rgb="002E4A7D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2E4A7D"/>
      </bottom>
    </border>
    <border>
      <left style="thin">
        <color rgb="00EDF2FA"/>
      </left>
      <right style="medium">
        <color rgb="002E4A7D"/>
      </right>
      <top style="thin">
        <color rgb="00EDF2FA"/>
      </top>
      <bottom style="medium">
        <color rgb="002E4A7D"/>
      </bottom>
    </border>
    <border>
      <left style="medium">
        <color rgb="003F6B22"/>
      </left>
      <right style="thin">
        <color rgb="00EDF2FA"/>
      </right>
      <top style="medium">
        <color rgb="003F6B22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3F6B22"/>
      </top>
      <bottom style="thin">
        <color rgb="00EDF2FA"/>
      </bottom>
    </border>
    <border>
      <left style="thin">
        <color rgb="00EDF2FA"/>
      </left>
      <right style="medium">
        <color rgb="003F6B22"/>
      </right>
      <top style="medium">
        <color rgb="003F6B22"/>
      </top>
      <bottom style="thin">
        <color rgb="00EDF2FA"/>
      </bottom>
    </border>
    <border>
      <left style="medium">
        <color rgb="003F6B22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3F6B22"/>
      </right>
      <top style="thin">
        <color rgb="00EDF2FA"/>
      </top>
      <bottom style="thin">
        <color rgb="00EDF2FA"/>
      </bottom>
    </border>
    <border>
      <left style="medium">
        <color rgb="003F6B22"/>
      </left>
      <right style="thin">
        <color rgb="00EDF2FA"/>
      </right>
      <top style="thin">
        <color rgb="00EDF2FA"/>
      </top>
      <bottom style="medium">
        <color rgb="003F6B22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3F6B22"/>
      </bottom>
    </border>
    <border>
      <left style="thin">
        <color rgb="00EDF2FA"/>
      </left>
      <right style="medium">
        <color rgb="003F6B22"/>
      </right>
      <top style="thin">
        <color rgb="00EDF2FA"/>
      </top>
      <bottom style="medium">
        <color rgb="003F6B22"/>
      </bottom>
    </border>
    <border>
      <left style="medium">
        <color rgb="001E6B34"/>
      </left>
      <right style="thin">
        <color rgb="00EDF2FA"/>
      </right>
      <top style="medium">
        <color rgb="001E6B34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1E6B34"/>
      </top>
      <bottom style="thin">
        <color rgb="00EDF2FA"/>
      </bottom>
    </border>
    <border>
      <left style="thin">
        <color rgb="00EDF2FA"/>
      </left>
      <right style="medium">
        <color rgb="001E6B34"/>
      </right>
      <top style="medium">
        <color rgb="001E6B34"/>
      </top>
      <bottom style="thin">
        <color rgb="00EDF2FA"/>
      </bottom>
    </border>
    <border>
      <left style="medium">
        <color rgb="001E6B34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1E6B34"/>
      </right>
      <top style="thin">
        <color rgb="00EDF2FA"/>
      </top>
      <bottom style="thin">
        <color rgb="00EDF2FA"/>
      </bottom>
    </border>
    <border>
      <left style="medium">
        <color rgb="001E6B34"/>
      </left>
      <right style="thin">
        <color rgb="00EDF2FA"/>
      </right>
      <top style="thin">
        <color rgb="00EDF2FA"/>
      </top>
      <bottom style="medium">
        <color rgb="001E6B34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1E6B34"/>
      </bottom>
    </border>
    <border>
      <left style="thin">
        <color rgb="00EDF2FA"/>
      </left>
      <right style="medium">
        <color rgb="001E6B34"/>
      </right>
      <top style="thin">
        <color rgb="00EDF2FA"/>
      </top>
      <bottom style="medium">
        <color rgb="001E6B34"/>
      </bottom>
    </border>
    <border>
      <left style="medium">
        <color rgb="009C0006"/>
      </left>
      <right style="thin">
        <color rgb="00EDF2FA"/>
      </right>
      <top style="medium">
        <color rgb="009C0006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9C0006"/>
      </top>
      <bottom style="thin">
        <color rgb="00EDF2FA"/>
      </bottom>
    </border>
    <border>
      <left style="thin">
        <color rgb="00EDF2FA"/>
      </left>
      <right style="medium">
        <color rgb="009C0006"/>
      </right>
      <top style="medium">
        <color rgb="009C0006"/>
      </top>
      <bottom style="thin">
        <color rgb="00EDF2FA"/>
      </bottom>
    </border>
    <border>
      <left style="medium">
        <color rgb="009C0006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9C0006"/>
      </right>
      <top style="thin">
        <color rgb="00EDF2FA"/>
      </top>
      <bottom style="thin">
        <color rgb="00EDF2FA"/>
      </bottom>
    </border>
    <border>
      <left style="medium">
        <color rgb="009C0006"/>
      </left>
      <right style="thin">
        <color rgb="00EDF2FA"/>
      </right>
      <top style="thin">
        <color rgb="00EDF2FA"/>
      </top>
      <bottom style="medium">
        <color rgb="009C0006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9C0006"/>
      </bottom>
    </border>
    <border>
      <left style="thin">
        <color rgb="00EDF2FA"/>
      </left>
      <right style="medium">
        <color rgb="009C0006"/>
      </right>
      <top style="thin">
        <color rgb="00EDF2FA"/>
      </top>
      <bottom style="medium">
        <color rgb="009C0006"/>
      </bottom>
    </border>
    <border>
      <left style="medium">
        <color rgb="008A4B00"/>
      </left>
      <right style="thin">
        <color rgb="00EDF2FA"/>
      </right>
      <top style="medium">
        <color rgb="008A4B00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8A4B00"/>
      </top>
      <bottom style="thin">
        <color rgb="00EDF2FA"/>
      </bottom>
    </border>
    <border>
      <left style="thin">
        <color rgb="00EDF2FA"/>
      </left>
      <right style="medium">
        <color rgb="008A4B00"/>
      </right>
      <top style="medium">
        <color rgb="008A4B00"/>
      </top>
      <bottom style="thin">
        <color rgb="00EDF2FA"/>
      </bottom>
    </border>
    <border>
      <left style="medium">
        <color rgb="008A4B00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8A4B00"/>
      </right>
      <top style="thin">
        <color rgb="00EDF2FA"/>
      </top>
      <bottom style="thin">
        <color rgb="00EDF2FA"/>
      </bottom>
    </border>
    <border>
      <left style="medium">
        <color rgb="008A4B00"/>
      </left>
      <right style="thin">
        <color rgb="00EDF2FA"/>
      </right>
      <top style="thin">
        <color rgb="00EDF2FA"/>
      </top>
      <bottom style="medium">
        <color rgb="008A4B00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8A4B00"/>
      </bottom>
    </border>
    <border>
      <left style="thin">
        <color rgb="00EDF2FA"/>
      </left>
      <right style="medium">
        <color rgb="008A4B00"/>
      </right>
      <top style="thin">
        <color rgb="00EDF2FA"/>
      </top>
      <bottom style="medium">
        <color rgb="008A4B00"/>
      </bottom>
    </border>
  </borders>
  <cellStyleXfs count="1">
    <xf numFmtId="0" fontId="0" fillId="0" borderId="0"/>
  </cellStyleXfs>
  <cellXfs count="46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10" fillId="3" borderId="0" pivotButton="0" quotePrefix="0" xfId="0"/>
    <xf numFmtId="0" fontId="11" fillId="2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1" fillId="2" borderId="2" applyAlignment="1" pivotButton="0" quotePrefix="0" xfId="0">
      <alignment horizontal="left" vertical="center"/>
    </xf>
    <xf numFmtId="0" fontId="11" fillId="2" borderId="6" applyAlignment="1" pivotButton="0" quotePrefix="0" xfId="0">
      <alignment horizontal="center" vertical="center" wrapText="1"/>
    </xf>
    <xf numFmtId="0" fontId="3" fillId="0" borderId="7" pivotButton="0" quotePrefix="0" xfId="0"/>
    <xf numFmtId="0" fontId="12" fillId="0" borderId="4" applyAlignment="1" pivotButton="0" quotePrefix="0" xfId="0">
      <alignment horizontal="left" vertical="center" wrapText="1"/>
    </xf>
    <xf numFmtId="164" fontId="13" fillId="8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 wrapText="1"/>
    </xf>
    <xf numFmtId="0" fontId="4" fillId="4" borderId="9" applyAlignment="1" pivotButton="0" quotePrefix="0" xfId="0">
      <alignment horizontal="left" vertical="center"/>
    </xf>
    <xf numFmtId="0" fontId="3" fillId="0" borderId="10" pivotButton="0" quotePrefix="0" xfId="0"/>
    <xf numFmtId="0" fontId="3" fillId="0" borderId="11" pivotButton="0" quotePrefix="0" xfId="0"/>
    <xf numFmtId="0" fontId="14" fillId="0" borderId="0" applyAlignment="1" pivotButton="0" quotePrefix="0" xfId="0">
      <alignment horizontal="center" vertical="center"/>
    </xf>
    <xf numFmtId="0" fontId="5" fillId="5" borderId="12" applyAlignment="1" pivotButton="0" quotePrefix="0" xfId="0">
      <alignment horizontal="left" vertical="center"/>
    </xf>
    <xf numFmtId="0" fontId="3" fillId="0" borderId="13" pivotButton="0" quotePrefix="0" xfId="0"/>
    <xf numFmtId="0" fontId="15" fillId="9" borderId="6" pivotButton="0" quotePrefix="0" xfId="0"/>
    <xf numFmtId="0" fontId="14" fillId="0" borderId="0" applyAlignment="1" pivotButton="0" quotePrefix="0" xfId="0">
      <alignment horizontal="left" vertical="center"/>
    </xf>
    <xf numFmtId="0" fontId="3" fillId="0" borderId="14" pivotButton="0" quotePrefix="0" xfId="0"/>
    <xf numFmtId="0" fontId="15" fillId="10" borderId="6" pivotButton="0" quotePrefix="0" xfId="0"/>
    <xf numFmtId="0" fontId="7" fillId="6" borderId="15" applyAlignment="1" pivotButton="0" quotePrefix="0" xfId="0">
      <alignment horizontal="left" vertical="center"/>
    </xf>
    <xf numFmtId="0" fontId="3" fillId="0" borderId="16" pivotButton="0" quotePrefix="0" xfId="0"/>
    <xf numFmtId="0" fontId="15" fillId="11" borderId="6" pivotButton="0" quotePrefix="0" xfId="0"/>
    <xf numFmtId="0" fontId="3" fillId="0" borderId="17" pivotButton="0" quotePrefix="0" xfId="0"/>
    <xf numFmtId="0" fontId="15" fillId="12" borderId="6" pivotButton="0" quotePrefix="0" xfId="0"/>
    <xf numFmtId="0" fontId="16" fillId="4" borderId="4" applyAlignment="1" pivotButton="0" quotePrefix="0" xfId="0">
      <alignment horizontal="center" vertical="center"/>
    </xf>
    <xf numFmtId="0" fontId="15" fillId="13" borderId="6" pivotButton="0" quotePrefix="0" xfId="0"/>
    <xf numFmtId="0" fontId="17" fillId="6" borderId="6" applyAlignment="1" pivotButton="0" quotePrefix="0" xfId="0">
      <alignment horizontal="center" vertical="center" wrapText="1"/>
    </xf>
    <xf numFmtId="0" fontId="18" fillId="14" borderId="4" applyAlignment="1" pivotButton="0" quotePrefix="0" xfId="0">
      <alignment horizontal="center" vertical="center"/>
    </xf>
    <xf numFmtId="0" fontId="15" fillId="15" borderId="6" pivotButton="0" quotePrefix="0" xfId="0"/>
    <xf numFmtId="0" fontId="17" fillId="6" borderId="6" applyAlignment="1" pivotButton="0" quotePrefix="0" xfId="0">
      <alignment horizontal="left" vertical="center" wrapText="1"/>
    </xf>
    <xf numFmtId="0" fontId="15" fillId="16" borderId="6" pivotButton="0" quotePrefix="0" xfId="0"/>
    <xf numFmtId="0" fontId="19" fillId="17" borderId="4" applyAlignment="1" pivotButton="0" quotePrefix="0" xfId="0">
      <alignment horizontal="center" vertical="center"/>
    </xf>
    <xf numFmtId="165" fontId="13" fillId="8" borderId="6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 wrapText="1"/>
    </xf>
    <xf numFmtId="0" fontId="20" fillId="4" borderId="4" applyAlignment="1" pivotButton="0" quotePrefix="0" xfId="0">
      <alignment horizontal="center" vertical="center"/>
    </xf>
    <xf numFmtId="0" fontId="21" fillId="17" borderId="4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166" fontId="17" fillId="6" borderId="6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11" fillId="2" borderId="18" applyAlignment="1" pivotButton="0" quotePrefix="0" xfId="0">
      <alignment horizontal="center" vertical="center" wrapText="1"/>
    </xf>
    <xf numFmtId="167" fontId="18" fillId="6" borderId="6" applyAlignment="1" pivotButton="0" quotePrefix="0" xfId="0">
      <alignment horizontal="center" vertical="center"/>
    </xf>
    <xf numFmtId="0" fontId="15" fillId="18" borderId="6" applyAlignment="1" pivotButton="0" quotePrefix="0" xfId="0">
      <alignment horizontal="center" vertical="center" wrapText="1"/>
    </xf>
    <xf numFmtId="168" fontId="15" fillId="0" borderId="6" applyAlignment="1" pivotButton="0" quotePrefix="0" xfId="0">
      <alignment horizontal="center" vertical="center" wrapText="1"/>
    </xf>
    <xf numFmtId="166" fontId="15" fillId="8" borderId="6" applyAlignment="1" pivotButton="0" quotePrefix="0" xfId="0">
      <alignment horizontal="center" vertical="center" wrapText="1"/>
    </xf>
    <xf numFmtId="0" fontId="24" fillId="7" borderId="4" applyAlignment="1" pivotButton="0" quotePrefix="0" xfId="0">
      <alignment horizontal="center" vertical="center"/>
    </xf>
    <xf numFmtId="0" fontId="23" fillId="18" borderId="6" applyAlignment="1" pivotButton="0" quotePrefix="0" xfId="0">
      <alignment horizontal="center" vertical="center" wrapText="1"/>
    </xf>
    <xf numFmtId="0" fontId="25" fillId="3" borderId="6" applyAlignment="1" pivotButton="0" quotePrefix="0" xfId="0">
      <alignment horizontal="left" vertical="center" wrapText="1"/>
    </xf>
    <xf numFmtId="169" fontId="15" fillId="18" borderId="6" applyAlignment="1" pivotButton="0" quotePrefix="0" xfId="0">
      <alignment horizontal="center" vertical="center" wrapText="1"/>
    </xf>
    <xf numFmtId="169" fontId="15" fillId="8" borderId="6" applyAlignment="1" pivotButton="0" quotePrefix="0" xfId="0">
      <alignment horizontal="center" vertical="center" wrapText="1"/>
    </xf>
    <xf numFmtId="0" fontId="23" fillId="8" borderId="6" applyAlignment="1" pivotButton="0" quotePrefix="0" xfId="0">
      <alignment horizontal="center" vertical="center" wrapText="1"/>
    </xf>
    <xf numFmtId="166" fontId="15" fillId="1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left" vertical="top" wrapText="1"/>
    </xf>
    <xf numFmtId="0" fontId="12" fillId="19" borderId="6" applyAlignment="1" pivotButton="0" quotePrefix="0" xfId="0">
      <alignment horizontal="center" vertical="center" wrapText="1"/>
    </xf>
    <xf numFmtId="0" fontId="22" fillId="19" borderId="6" applyAlignment="1" pivotButton="0" quotePrefix="0" xfId="0">
      <alignment horizontal="center" vertical="center" wrapText="1"/>
    </xf>
    <xf numFmtId="0" fontId="23" fillId="19" borderId="6" applyAlignment="1" pivotButton="0" quotePrefix="0" xfId="0">
      <alignment horizontal="left" vertical="top" wrapText="1"/>
    </xf>
    <xf numFmtId="0" fontId="15" fillId="19" borderId="6" applyAlignment="1" pivotButton="0" quotePrefix="0" xfId="0">
      <alignment horizontal="center" vertical="center" wrapText="1"/>
    </xf>
    <xf numFmtId="166" fontId="23" fillId="8" borderId="6" applyAlignment="1" pivotButton="0" quotePrefix="0" xfId="0">
      <alignment horizontal="center" vertical="center" wrapText="1"/>
    </xf>
    <xf numFmtId="0" fontId="3" fillId="0" borderId="19" pivotButton="0" quotePrefix="0" xfId="0"/>
    <xf numFmtId="2" fontId="13" fillId="8" borderId="6" applyAlignment="1" pivotButton="0" quotePrefix="0" xfId="0">
      <alignment horizontal="center" vertical="center"/>
    </xf>
    <xf numFmtId="170" fontId="24" fillId="2" borderId="6" applyAlignment="1" pivotButton="0" quotePrefix="0" xfId="0">
      <alignment horizontal="center" vertical="center"/>
    </xf>
    <xf numFmtId="167" fontId="25" fillId="18" borderId="6" applyAlignment="1" pivotButton="0" quotePrefix="0" xfId="0">
      <alignment horizontal="center" vertical="center" wrapText="1"/>
    </xf>
    <xf numFmtId="168" fontId="15" fillId="19" borderId="6" applyAlignment="1" pivotButton="0" quotePrefix="0" xfId="0">
      <alignment horizontal="center" vertical="center" wrapText="1"/>
    </xf>
    <xf numFmtId="171" fontId="23" fillId="8" borderId="6" applyAlignment="1" pivotButton="0" quotePrefix="0" xfId="0">
      <alignment horizontal="center" vertical="center" wrapText="1"/>
    </xf>
    <xf numFmtId="0" fontId="23" fillId="8" borderId="6" applyAlignment="1" pivotButton="0" quotePrefix="0" xfId="0">
      <alignment horizontal="left" vertical="center" wrapText="1"/>
    </xf>
    <xf numFmtId="0" fontId="23" fillId="20" borderId="6" applyAlignment="1" pivotButton="0" quotePrefix="0" xfId="0">
      <alignment horizontal="center" vertical="center" wrapText="1"/>
    </xf>
    <xf numFmtId="170" fontId="26" fillId="21" borderId="2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166" fontId="23" fillId="20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171" fontId="23" fillId="20" borderId="6" applyAlignment="1" pivotButton="0" quotePrefix="0" xfId="0">
      <alignment horizontal="center" vertical="center" wrapText="1"/>
    </xf>
    <xf numFmtId="0" fontId="23" fillId="20" borderId="6" applyAlignment="1" pivotButton="0" quotePrefix="0" xfId="0">
      <alignment horizontal="left" vertical="center" wrapText="1"/>
    </xf>
    <xf numFmtId="172" fontId="27" fillId="18" borderId="6" applyAlignment="1" pivotButton="0" quotePrefix="0" xfId="0">
      <alignment horizontal="center" vertical="center"/>
    </xf>
    <xf numFmtId="170" fontId="28" fillId="21" borderId="21" applyAlignment="1" pivotButton="0" quotePrefix="0" xfId="0">
      <alignment horizontal="center" vertical="center"/>
    </xf>
    <xf numFmtId="0" fontId="3" fillId="0" borderId="22" pivotButton="0" quotePrefix="0" xfId="0"/>
    <xf numFmtId="0" fontId="15" fillId="19" borderId="6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/>
    </xf>
    <xf numFmtId="0" fontId="29" fillId="2" borderId="6" applyAlignment="1" pivotButton="0" quotePrefix="0" xfId="0">
      <alignment horizontal="center" vertical="center"/>
    </xf>
    <xf numFmtId="166" fontId="27" fillId="18" borderId="6" applyAlignment="1" pivotButton="0" quotePrefix="0" xfId="0">
      <alignment horizontal="center" vertical="center"/>
    </xf>
    <xf numFmtId="0" fontId="22" fillId="22" borderId="4" applyAlignment="1" pivotButton="0" quotePrefix="0" xfId="0">
      <alignment horizontal="left" vertical="center" wrapText="1"/>
    </xf>
    <xf numFmtId="0" fontId="26" fillId="21" borderId="20" applyAlignment="1" pivotButton="0" quotePrefix="0" xfId="0">
      <alignment horizontal="center" vertical="center"/>
    </xf>
    <xf numFmtId="0" fontId="22" fillId="19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166" fontId="30" fillId="22" borderId="6" applyAlignment="1" pivotButton="0" quotePrefix="0" xfId="0">
      <alignment horizontal="center" vertical="center"/>
    </xf>
    <xf numFmtId="0" fontId="28" fillId="21" borderId="21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16" fillId="0" borderId="6" applyAlignment="1" pivotButton="0" quotePrefix="0" xfId="0">
      <alignment horizontal="left" vertical="center"/>
    </xf>
    <xf numFmtId="0" fontId="16" fillId="9" borderId="6" applyAlignment="1" pivotButton="0" quotePrefix="0" xfId="0">
      <alignment horizontal="center" vertical="center"/>
    </xf>
    <xf numFmtId="171" fontId="23" fillId="0" borderId="6" applyAlignment="1" pivotButton="0" quotePrefix="0" xfId="0">
      <alignment horizontal="center" vertical="center"/>
    </xf>
    <xf numFmtId="173" fontId="23" fillId="0" borderId="6" applyAlignment="1" pivotButton="0" quotePrefix="0" xfId="0">
      <alignment horizontal="center" vertical="center"/>
    </xf>
    <xf numFmtId="9" fontId="31" fillId="8" borderId="6" applyAlignment="1" pivotButton="0" quotePrefix="0" xfId="0">
      <alignment horizontal="center" vertical="center"/>
    </xf>
    <xf numFmtId="0" fontId="15" fillId="9" borderId="23" pivotButton="0" quotePrefix="0" xfId="0"/>
    <xf numFmtId="0" fontId="15" fillId="0" borderId="23" pivotButton="0" quotePrefix="0" xfId="0"/>
    <xf numFmtId="0" fontId="15" fillId="23" borderId="23" pivotButton="0" quotePrefix="0" xfId="0"/>
    <xf numFmtId="0" fontId="15" fillId="0" borderId="24" pivotButton="0" quotePrefix="0" xfId="0"/>
    <xf numFmtId="0" fontId="15" fillId="23" borderId="25" pivotButton="0" quotePrefix="0" xfId="0"/>
    <xf numFmtId="0" fontId="32" fillId="7" borderId="6" applyAlignment="1" pivotButton="0" quotePrefix="0" xfId="0">
      <alignment horizontal="left" vertical="center" wrapText="1"/>
    </xf>
    <xf numFmtId="0" fontId="15" fillId="9" borderId="24" pivotButton="0" quotePrefix="0" xfId="0"/>
    <xf numFmtId="0" fontId="32" fillId="7" borderId="6" applyAlignment="1" pivotButton="0" quotePrefix="0" xfId="0">
      <alignment horizontal="center" vertical="center" wrapText="1"/>
    </xf>
    <xf numFmtId="168" fontId="32" fillId="7" borderId="6" applyAlignment="1" pivotButton="0" quotePrefix="0" xfId="0">
      <alignment horizontal="center" vertical="center" wrapText="1"/>
    </xf>
    <xf numFmtId="166" fontId="32" fillId="7" borderId="6" applyAlignment="1" pivotButton="0" quotePrefix="0" xfId="0">
      <alignment horizontal="center" vertical="center" wrapText="1"/>
    </xf>
    <xf numFmtId="0" fontId="15" fillId="9" borderId="25" pivotButton="0" quotePrefix="0" xfId="0"/>
    <xf numFmtId="169" fontId="32" fillId="7" borderId="6" applyAlignment="1" pivotButton="0" quotePrefix="0" xfId="0">
      <alignment horizontal="center" vertical="center" wrapText="1"/>
    </xf>
    <xf numFmtId="0" fontId="19" fillId="17" borderId="4" applyAlignment="1" pivotButton="0" quotePrefix="0" xfId="0">
      <alignment horizontal="left" vertical="center" wrapText="1"/>
    </xf>
    <xf numFmtId="172" fontId="30" fillId="22" borderId="6" applyAlignment="1" pivotButton="0" quotePrefix="0" xfId="0">
      <alignment horizontal="center" vertical="center"/>
    </xf>
    <xf numFmtId="0" fontId="25" fillId="22" borderId="4" applyAlignment="1" pivotButton="0" quotePrefix="0" xfId="0">
      <alignment horizontal="left" vertical="center" wrapText="1"/>
    </xf>
    <xf numFmtId="0" fontId="18" fillId="6" borderId="4" applyAlignment="1" pivotButton="0" quotePrefix="0" xfId="0">
      <alignment horizontal="left" vertical="center" wrapText="1"/>
    </xf>
    <xf numFmtId="0" fontId="14" fillId="18" borderId="4" applyAlignment="1" pivotButton="0" quotePrefix="0" xfId="0">
      <alignment horizontal="left" vertical="center" wrapText="1"/>
    </xf>
    <xf numFmtId="174" fontId="30" fillId="22" borderId="6" applyAlignment="1" pivotButton="0" quotePrefix="0" xfId="0">
      <alignment horizontal="center" vertical="center"/>
    </xf>
    <xf numFmtId="175" fontId="30" fillId="22" borderId="6" applyAlignment="1" pivotButton="0" quotePrefix="0" xfId="0">
      <alignment horizontal="center" vertical="center"/>
    </xf>
    <xf numFmtId="176" fontId="30" fillId="22" borderId="6" applyAlignment="1" pivotButton="0" quotePrefix="0" xfId="0">
      <alignment horizontal="center" vertical="center"/>
    </xf>
    <xf numFmtId="169" fontId="30" fillId="22" borderId="6" applyAlignment="1" pivotButton="0" quotePrefix="0" xfId="0">
      <alignment horizontal="center" vertical="center"/>
    </xf>
    <xf numFmtId="174" fontId="27" fillId="18" borderId="6" applyAlignment="1" pivotButton="0" quotePrefix="0" xfId="0">
      <alignment horizontal="center" vertical="center"/>
    </xf>
    <xf numFmtId="0" fontId="11" fillId="11" borderId="6" applyAlignment="1" pivotButton="0" quotePrefix="0" xfId="0">
      <alignment horizontal="center" vertical="center"/>
    </xf>
    <xf numFmtId="0" fontId="15" fillId="11" borderId="23" pivotButton="0" quotePrefix="0" xfId="0"/>
    <xf numFmtId="0" fontId="16" fillId="12" borderId="6" applyAlignment="1" pivotButton="0" quotePrefix="0" xfId="0">
      <alignment horizontal="center" vertical="center"/>
    </xf>
    <xf numFmtId="0" fontId="33" fillId="22" borderId="26" applyAlignment="1" pivotButton="0" quotePrefix="0" xfId="0">
      <alignment horizontal="center" vertical="center" wrapText="1"/>
    </xf>
    <xf numFmtId="0" fontId="3" fillId="0" borderId="27" pivotButton="0" quotePrefix="0" xfId="0"/>
    <xf numFmtId="0" fontId="3" fillId="0" borderId="28" pivotButton="0" quotePrefix="0" xfId="0"/>
    <xf numFmtId="0" fontId="3" fillId="0" borderId="29" pivotButton="0" quotePrefix="0" xfId="0"/>
    <xf numFmtId="0" fontId="15" fillId="12" borderId="23" pivotButton="0" quotePrefix="0" xfId="0"/>
    <xf numFmtId="0" fontId="3" fillId="0" borderId="30" pivotButton="0" quotePrefix="0" xfId="0"/>
    <xf numFmtId="0" fontId="3" fillId="0" borderId="31" pivotButton="0" quotePrefix="0" xfId="0"/>
    <xf numFmtId="0" fontId="15" fillId="12" borderId="24" pivotButton="0" quotePrefix="0" xfId="0"/>
    <xf numFmtId="0" fontId="7" fillId="6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11" fillId="10" borderId="6" applyAlignment="1" pivotButton="0" quotePrefix="0" xfId="0">
      <alignment horizontal="center" vertical="center"/>
    </xf>
    <xf numFmtId="0" fontId="15" fillId="10" borderId="23" pivotButton="0" quotePrefix="0" xfId="0"/>
    <xf numFmtId="0" fontId="15" fillId="10" borderId="24" pivotButton="0" quotePrefix="0" xfId="0"/>
    <xf numFmtId="0" fontId="11" fillId="13" borderId="6" applyAlignment="1" pivotButton="0" quotePrefix="0" xfId="0">
      <alignment horizontal="center" vertical="center"/>
    </xf>
    <xf numFmtId="0" fontId="15" fillId="13" borderId="24" pivotButton="0" quotePrefix="0" xfId="0"/>
    <xf numFmtId="0" fontId="15" fillId="13" borderId="23" pivotButton="0" quotePrefix="0" xfId="0"/>
    <xf numFmtId="0" fontId="15" fillId="13" borderId="25" pivotButton="0" quotePrefix="0" xfId="0"/>
    <xf numFmtId="0" fontId="15" fillId="11" borderId="25" pivotButton="0" quotePrefix="0" xfId="0"/>
    <xf numFmtId="0" fontId="11" fillId="15" borderId="6" applyAlignment="1" pivotButton="0" quotePrefix="0" xfId="0">
      <alignment horizontal="center" vertical="center"/>
    </xf>
    <xf numFmtId="0" fontId="15" fillId="15" borderId="24" pivotButton="0" quotePrefix="0" xfId="0"/>
    <xf numFmtId="0" fontId="15" fillId="15" borderId="23" pivotButton="0" quotePrefix="0" xfId="0"/>
    <xf numFmtId="0" fontId="15" fillId="15" borderId="25" pivotButton="0" quotePrefix="0" xfId="0"/>
    <xf numFmtId="0" fontId="11" fillId="16" borderId="6" applyAlignment="1" pivotButton="0" quotePrefix="0" xfId="0">
      <alignment horizontal="center" vertical="center"/>
    </xf>
    <xf numFmtId="0" fontId="15" fillId="16" borderId="23" pivotButton="0" quotePrefix="0" xfId="0"/>
    <xf numFmtId="0" fontId="15" fillId="16" borderId="24" pivotButton="0" quotePrefix="0" xfId="0"/>
    <xf numFmtId="0" fontId="15" fillId="16" borderId="25" pivotButton="0" quotePrefix="0" xfId="0"/>
    <xf numFmtId="0" fontId="19" fillId="21" borderId="4" applyAlignment="1" pivotButton="0" quotePrefix="0" xfId="0">
      <alignment horizontal="center" vertical="center"/>
    </xf>
    <xf numFmtId="0" fontId="7" fillId="21" borderId="4" applyAlignment="1" pivotButton="0" quotePrefix="0" xfId="0">
      <alignment horizontal="center" vertical="center"/>
    </xf>
    <xf numFmtId="0" fontId="11" fillId="7" borderId="32" applyAlignment="1" pivotButton="0" quotePrefix="0" xfId="0">
      <alignment horizontal="center" vertical="center" wrapText="1"/>
    </xf>
    <xf numFmtId="0" fontId="3" fillId="0" borderId="33" pivotButton="0" quotePrefix="0" xfId="0"/>
    <xf numFmtId="0" fontId="3" fillId="0" borderId="34" pivotButton="0" quotePrefix="0" xfId="0"/>
    <xf numFmtId="172" fontId="34" fillId="22" borderId="35" applyAlignment="1" pivotButton="0" quotePrefix="0" xfId="0">
      <alignment horizontal="center" vertical="center"/>
    </xf>
    <xf numFmtId="0" fontId="3" fillId="0" borderId="36" pivotButton="0" quotePrefix="0" xfId="0"/>
    <xf numFmtId="0" fontId="3" fillId="0" borderId="37" pivotButton="0" quotePrefix="0" xfId="0"/>
    <xf numFmtId="0" fontId="35" fillId="22" borderId="38" applyAlignment="1" pivotButton="0" quotePrefix="0" xfId="0">
      <alignment horizontal="center" vertical="center" wrapText="1"/>
    </xf>
    <xf numFmtId="0" fontId="3" fillId="0" borderId="39" pivotButton="0" quotePrefix="0" xfId="0"/>
    <xf numFmtId="0" fontId="3" fillId="0" borderId="40" pivotButton="0" quotePrefix="0" xfId="0"/>
    <xf numFmtId="0" fontId="11" fillId="24" borderId="41" applyAlignment="1" pivotButton="0" quotePrefix="0" xfId="0">
      <alignment horizontal="center" vertical="center" wrapText="1"/>
    </xf>
    <xf numFmtId="0" fontId="3" fillId="0" borderId="42" pivotButton="0" quotePrefix="0" xfId="0"/>
    <xf numFmtId="0" fontId="3" fillId="0" borderId="43" pivotButton="0" quotePrefix="0" xfId="0"/>
    <xf numFmtId="0" fontId="11" fillId="25" borderId="44" applyAlignment="1" pivotButton="0" quotePrefix="0" xfId="0">
      <alignment horizontal="center" vertical="center" wrapText="1"/>
    </xf>
    <xf numFmtId="0" fontId="3" fillId="0" borderId="45" pivotButton="0" quotePrefix="0" xfId="0"/>
    <xf numFmtId="0" fontId="3" fillId="0" borderId="46" pivotButton="0" quotePrefix="0" xfId="0"/>
    <xf numFmtId="172" fontId="36" fillId="22" borderId="47" applyAlignment="1" pivotButton="0" quotePrefix="0" xfId="0">
      <alignment horizontal="center" vertical="center"/>
    </xf>
    <xf numFmtId="0" fontId="3" fillId="0" borderId="48" pivotButton="0" quotePrefix="0" xfId="0"/>
    <xf numFmtId="172" fontId="37" fillId="22" borderId="49" applyAlignment="1" pivotButton="0" quotePrefix="0" xfId="0">
      <alignment horizontal="center" vertical="center"/>
    </xf>
    <xf numFmtId="0" fontId="3" fillId="0" borderId="50" pivotButton="0" quotePrefix="0" xfId="0"/>
    <xf numFmtId="0" fontId="35" fillId="22" borderId="51" applyAlignment="1" pivotButton="0" quotePrefix="0" xfId="0">
      <alignment horizontal="center" vertical="center" wrapText="1"/>
    </xf>
    <xf numFmtId="0" fontId="3" fillId="0" borderId="52" pivotButton="0" quotePrefix="0" xfId="0"/>
    <xf numFmtId="0" fontId="3" fillId="0" borderId="53" pivotButton="0" quotePrefix="0" xfId="0"/>
    <xf numFmtId="0" fontId="35" fillId="22" borderId="54" applyAlignment="1" pivotButton="0" quotePrefix="0" xfId="0">
      <alignment horizontal="center" vertical="center" wrapText="1"/>
    </xf>
    <xf numFmtId="0" fontId="3" fillId="0" borderId="55" pivotButton="0" quotePrefix="0" xfId="0"/>
    <xf numFmtId="0" fontId="3" fillId="0" borderId="56" pivotButton="0" quotePrefix="0" xfId="0"/>
    <xf numFmtId="166" fontId="34" fillId="22" borderId="35" applyAlignment="1" pivotButton="0" quotePrefix="0" xfId="0">
      <alignment horizontal="center" vertical="center"/>
    </xf>
    <xf numFmtId="0" fontId="11" fillId="26" borderId="57" applyAlignment="1" pivotButton="0" quotePrefix="0" xfId="0">
      <alignment horizontal="center" vertical="center" wrapText="1"/>
    </xf>
    <xf numFmtId="0" fontId="3" fillId="0" borderId="58" pivotButton="0" quotePrefix="0" xfId="0"/>
    <xf numFmtId="0" fontId="3" fillId="0" borderId="59" pivotButton="0" quotePrefix="0" xfId="0"/>
    <xf numFmtId="0" fontId="11" fillId="27" borderId="60" applyAlignment="1" pivotButton="0" quotePrefix="0" xfId="0">
      <alignment horizontal="center" vertical="center" wrapText="1"/>
    </xf>
    <xf numFmtId="0" fontId="3" fillId="0" borderId="61" pivotButton="0" quotePrefix="0" xfId="0"/>
    <xf numFmtId="0" fontId="3" fillId="0" borderId="62" pivotButton="0" quotePrefix="0" xfId="0"/>
    <xf numFmtId="169" fontId="34" fillId="22" borderId="35" applyAlignment="1" pivotButton="0" quotePrefix="0" xfId="0">
      <alignment horizontal="center" vertical="center"/>
    </xf>
    <xf numFmtId="169" fontId="38" fillId="22" borderId="63" applyAlignment="1" pivotButton="0" quotePrefix="0" xfId="0">
      <alignment horizontal="center" vertical="center"/>
    </xf>
    <xf numFmtId="0" fontId="3" fillId="0" borderId="64" pivotButton="0" quotePrefix="0" xfId="0"/>
    <xf numFmtId="175" fontId="39" fillId="22" borderId="65" applyAlignment="1" pivotButton="0" quotePrefix="0" xfId="0">
      <alignment horizontal="center" vertical="center"/>
    </xf>
    <xf numFmtId="0" fontId="3" fillId="0" borderId="66" pivotButton="0" quotePrefix="0" xfId="0"/>
    <xf numFmtId="176" fontId="36" fillId="22" borderId="47" applyAlignment="1" pivotButton="0" quotePrefix="0" xfId="0">
      <alignment horizontal="center" vertical="center"/>
    </xf>
    <xf numFmtId="0" fontId="35" fillId="22" borderId="67" applyAlignment="1" pivotButton="0" quotePrefix="0" xfId="0">
      <alignment horizontal="center" vertical="center" wrapText="1"/>
    </xf>
    <xf numFmtId="0" fontId="3" fillId="0" borderId="68" pivotButton="0" quotePrefix="0" xfId="0"/>
    <xf numFmtId="0" fontId="3" fillId="0" borderId="69" pivotButton="0" quotePrefix="0" xfId="0"/>
    <xf numFmtId="0" fontId="35" fillId="22" borderId="70" applyAlignment="1" pivotButton="0" quotePrefix="0" xfId="0">
      <alignment horizontal="center" vertical="center" wrapText="1"/>
    </xf>
    <xf numFmtId="0" fontId="3" fillId="0" borderId="71" pivotButton="0" quotePrefix="0" xfId="0"/>
    <xf numFmtId="0" fontId="3" fillId="0" borderId="72" pivotButton="0" quotePrefix="0" xfId="0"/>
    <xf numFmtId="0" fontId="12" fillId="3" borderId="4" applyAlignment="1" pivotButton="0" quotePrefix="0" xfId="0">
      <alignment horizontal="center" vertical="center"/>
    </xf>
    <xf numFmtId="171" fontId="40" fillId="3" borderId="4" applyAlignment="1" pivotButton="0" quotePrefix="0" xfId="0">
      <alignment horizontal="center" vertical="center"/>
    </xf>
    <xf numFmtId="172" fontId="40" fillId="3" borderId="4" applyAlignment="1" pivotButton="0" quotePrefix="0" xfId="0">
      <alignment horizontal="center" vertical="center"/>
    </xf>
    <xf numFmtId="172" fontId="40" fillId="18" borderId="4" applyAlignment="1" pivotButton="0" quotePrefix="0" xfId="0">
      <alignment horizontal="center" vertical="center"/>
    </xf>
    <xf numFmtId="168" fontId="40" fillId="3" borderId="4" applyAlignment="1" pivotButton="0" quotePrefix="0" xfId="0">
      <alignment horizontal="center" vertical="center"/>
    </xf>
    <xf numFmtId="166" fontId="41" fillId="8" borderId="4" applyAlignment="1" pivotButton="0" quotePrefix="0" xfId="0">
      <alignment horizontal="center" vertical="center"/>
    </xf>
    <xf numFmtId="166" fontId="40" fillId="18" borderId="4" applyAlignment="1" pivotButton="0" quotePrefix="0" xfId="0">
      <alignment horizontal="center" vertical="center"/>
    </xf>
    <xf numFmtId="165" fontId="27" fillId="18" borderId="4" applyAlignment="1" pivotButton="0" quotePrefix="0" xfId="0">
      <alignment horizontal="center" vertical="center"/>
    </xf>
    <xf numFmtId="165" fontId="42" fillId="18" borderId="4" applyAlignment="1" pivotButton="0" quotePrefix="0" xfId="0">
      <alignment horizontal="center" vertical="center"/>
    </xf>
    <xf numFmtId="0" fontId="32" fillId="7" borderId="4" applyAlignment="1" pivotButton="0" quotePrefix="0" xfId="0">
      <alignment horizontal="center" vertical="center"/>
    </xf>
    <xf numFmtId="0" fontId="15" fillId="7" borderId="4" pivotButton="0" quotePrefix="0" xfId="0"/>
    <xf numFmtId="172" fontId="32" fillId="7" borderId="4" applyAlignment="1" pivotButton="0" quotePrefix="0" xfId="0">
      <alignment horizontal="center" vertical="center"/>
    </xf>
    <xf numFmtId="168" fontId="32" fillId="7" borderId="4" applyAlignment="1" pivotButton="0" quotePrefix="0" xfId="0">
      <alignment horizontal="center" vertical="center"/>
    </xf>
    <xf numFmtId="166" fontId="32" fillId="7" borderId="4" applyAlignment="1" pivotButton="0" quotePrefix="0" xfId="0">
      <alignment horizontal="center" vertical="center"/>
    </xf>
    <xf numFmtId="165" fontId="32" fillId="7" borderId="4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6" fillId="4" borderId="6" applyAlignment="1" pivotButton="0" quotePrefix="0" xfId="0">
      <alignment horizontal="center" vertical="center"/>
    </xf>
    <xf numFmtId="172" fontId="43" fillId="28" borderId="6" applyAlignment="1" pivotButton="0" quotePrefix="0" xfId="0">
      <alignment horizontal="center" vertical="center"/>
    </xf>
    <xf numFmtId="172" fontId="44" fillId="29" borderId="6" applyAlignment="1" pivotButton="0" quotePrefix="0" xfId="0">
      <alignment horizontal="center" vertical="center"/>
    </xf>
    <xf numFmtId="172" fontId="45" fillId="30" borderId="6" applyAlignment="1" pivotButton="0" quotePrefix="0" xfId="0">
      <alignment horizontal="center" vertical="center"/>
    </xf>
    <xf numFmtId="172" fontId="46" fillId="31" borderId="6" applyAlignment="1" pivotButton="0" quotePrefix="0" xfId="0">
      <alignment horizontal="center" vertical="center"/>
    </xf>
    <xf numFmtId="172" fontId="47" fillId="32" borderId="6" applyAlignment="1" pivotButton="0" quotePrefix="0" xfId="0">
      <alignment horizontal="center" vertical="center"/>
    </xf>
    <xf numFmtId="172" fontId="48" fillId="33" borderId="6" applyAlignment="1" pivotButton="0" quotePrefix="0" xfId="0">
      <alignment horizontal="center" vertical="center"/>
    </xf>
    <xf numFmtId="165" fontId="4" fillId="18" borderId="6" applyAlignment="1" pivotButton="0" quotePrefix="0" xfId="0">
      <alignment horizontal="center" vertical="center"/>
    </xf>
    <xf numFmtId="166" fontId="49" fillId="18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166" fontId="50" fillId="18" borderId="6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73" applyAlignment="1" pivotButton="0" quotePrefix="0" xfId="0">
      <alignment horizontal="left" vertical="center"/>
    </xf>
    <xf numFmtId="0" fontId="5" fillId="5" borderId="8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7" fillId="6" borderId="7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  <xf numFmtId="0" fontId="18" fillId="14" borderId="6" applyAlignment="1" pivotButton="0" quotePrefix="0" xfId="0">
      <alignment horizontal="center" vertical="center"/>
    </xf>
    <xf numFmtId="0" fontId="19" fillId="17" borderId="6" applyAlignment="1" pivotButton="0" quotePrefix="0" xfId="0">
      <alignment horizontal="center" vertical="center"/>
    </xf>
    <xf numFmtId="0" fontId="19" fillId="17" borderId="6" applyAlignment="1" pivotButton="0" quotePrefix="0" xfId="0">
      <alignment horizontal="left" vertical="center" wrapText="1"/>
    </xf>
    <xf numFmtId="0" fontId="25" fillId="22" borderId="6" applyAlignment="1" pivotButton="0" quotePrefix="0" xfId="0">
      <alignment horizontal="left" vertical="center" wrapText="1"/>
    </xf>
    <xf numFmtId="0" fontId="18" fillId="6" borderId="6" applyAlignment="1" pivotButton="0" quotePrefix="0" xfId="0">
      <alignment horizontal="left" vertical="center" wrapText="1"/>
    </xf>
    <xf numFmtId="0" fontId="14" fillId="18" borderId="6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52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53" fillId="36" borderId="0" applyAlignment="1" pivotButton="0" quotePrefix="0" xfId="0">
      <alignment horizontal="left" vertical="center"/>
    </xf>
    <xf numFmtId="0" fontId="0" fillId="36" borderId="0" pivotButton="0" quotePrefix="0" xfId="0"/>
    <xf numFmtId="0" fontId="54" fillId="37" borderId="0" applyAlignment="1" pivotButton="0" quotePrefix="0" xfId="0">
      <alignment horizontal="left" vertical="center"/>
    </xf>
    <xf numFmtId="0" fontId="0" fillId="37" borderId="0" pivotButton="0" quotePrefix="0" xfId="0"/>
    <xf numFmtId="0" fontId="55" fillId="0" borderId="0" applyAlignment="1" pivotButton="0" quotePrefix="0" xfId="0">
      <alignment horizontal="center" vertical="center"/>
    </xf>
    <xf numFmtId="0" fontId="0" fillId="38" borderId="111" pivotButton="0" quotePrefix="0" xfId="0"/>
    <xf numFmtId="0" fontId="55" fillId="0" borderId="0" applyAlignment="1" pivotButton="0" quotePrefix="0" xfId="0">
      <alignment horizontal="left" vertical="center"/>
    </xf>
    <xf numFmtId="0" fontId="0" fillId="39" borderId="111" pivotButton="0" quotePrefix="0" xfId="0"/>
    <xf numFmtId="0" fontId="0" fillId="40" borderId="111" pivotButton="0" quotePrefix="0" xfId="0"/>
    <xf numFmtId="0" fontId="0" fillId="41" borderId="111" pivotButton="0" quotePrefix="0" xfId="0"/>
    <xf numFmtId="0" fontId="0" fillId="42" borderId="111" pivotButton="0" quotePrefix="0" xfId="0"/>
    <xf numFmtId="0" fontId="0" fillId="43" borderId="111" pivotButton="0" quotePrefix="0" xfId="0"/>
    <xf numFmtId="0" fontId="0" fillId="44" borderId="111" pivotButton="0" quotePrefix="0" xfId="0"/>
    <xf numFmtId="0" fontId="60" fillId="47" borderId="111" applyAlignment="1" pivotButton="0" quotePrefix="0" xfId="0">
      <alignment horizontal="center" vertical="center"/>
    </xf>
    <xf numFmtId="0" fontId="0" fillId="47" borderId="111" pivotButton="0" quotePrefix="0" xfId="0"/>
    <xf numFmtId="0" fontId="56" fillId="35" borderId="111" applyAlignment="1" pivotButton="0" quotePrefix="0" xfId="0">
      <alignment horizontal="center" vertical="center"/>
    </xf>
    <xf numFmtId="0" fontId="0" fillId="35" borderId="111" pivotButton="0" quotePrefix="0" xfId="0"/>
    <xf numFmtId="0" fontId="57" fillId="45" borderId="111" applyAlignment="1" pivotButton="0" quotePrefix="0" xfId="0">
      <alignment horizontal="center" vertical="center"/>
    </xf>
    <xf numFmtId="0" fontId="0" fillId="45" borderId="111" pivotButton="0" quotePrefix="0" xfId="0"/>
    <xf numFmtId="0" fontId="58" fillId="37" borderId="111" applyAlignment="1" pivotButton="0" quotePrefix="0" xfId="0">
      <alignment horizontal="center" vertical="center"/>
    </xf>
    <xf numFmtId="0" fontId="0" fillId="37" borderId="111" pivotButton="0" quotePrefix="0" xfId="0"/>
    <xf numFmtId="0" fontId="59" fillId="46" borderId="111" applyAlignment="1" pivotButton="0" quotePrefix="0" xfId="0">
      <alignment horizontal="center" vertical="center"/>
    </xf>
    <xf numFmtId="0" fontId="0" fillId="46" borderId="111" pivotButton="0" quotePrefix="0" xfId="0"/>
    <xf numFmtId="0" fontId="60" fillId="34" borderId="111" applyAlignment="1" pivotButton="0" quotePrefix="0" xfId="0">
      <alignment horizontal="center" vertical="center" wrapText="1"/>
    </xf>
    <xf numFmtId="0" fontId="61" fillId="47" borderId="111" applyAlignment="1" pivotButton="0" quotePrefix="0" xfId="0">
      <alignment horizontal="center" vertical="center"/>
    </xf>
    <xf numFmtId="0" fontId="0" fillId="34" borderId="111" pivotButton="0" quotePrefix="0" xfId="0"/>
    <xf numFmtId="170" fontId="61" fillId="34" borderId="111" applyAlignment="1" pivotButton="0" quotePrefix="0" xfId="0">
      <alignment horizontal="center" vertical="center"/>
    </xf>
    <xf numFmtId="170" fontId="66" fillId="50" borderId="113" applyAlignment="1" pivotButton="0" quotePrefix="0" xfId="0">
      <alignment horizontal="center" vertical="center"/>
    </xf>
    <xf numFmtId="170" fontId="67" fillId="50" borderId="115" applyAlignment="1" pivotButton="0" quotePrefix="0" xfId="0">
      <alignment horizontal="center" vertical="center"/>
    </xf>
    <xf numFmtId="170" fontId="68" fillId="50" borderId="117" applyAlignment="1" pivotButton="0" quotePrefix="0" xfId="0">
      <alignment horizontal="center" vertical="center"/>
    </xf>
    <xf numFmtId="170" fontId="69" fillId="50" borderId="119" applyAlignment="1" pivotButton="0" quotePrefix="0" xfId="0">
      <alignment horizontal="center" vertical="center"/>
    </xf>
    <xf numFmtId="0" fontId="61" fillId="34" borderId="111" applyAlignment="1" pivotButton="0" quotePrefix="0" xfId="0">
      <alignment horizontal="center" vertical="center"/>
    </xf>
    <xf numFmtId="0" fontId="62" fillId="34" borderId="111" applyAlignment="1" pivotButton="0" quotePrefix="0" xfId="0">
      <alignment horizontal="center" vertical="center"/>
    </xf>
    <xf numFmtId="0" fontId="66" fillId="50" borderId="113" applyAlignment="1" pivotButton="0" quotePrefix="0" xfId="0">
      <alignment horizontal="center" vertical="center"/>
    </xf>
    <xf numFmtId="0" fontId="67" fillId="50" borderId="115" applyAlignment="1" pivotButton="0" quotePrefix="0" xfId="0">
      <alignment horizontal="center" vertical="center"/>
    </xf>
    <xf numFmtId="0" fontId="68" fillId="50" borderId="117" applyAlignment="1" pivotButton="0" quotePrefix="0" xfId="0">
      <alignment horizontal="center" vertical="center"/>
    </xf>
    <xf numFmtId="0" fontId="69" fillId="50" borderId="119" applyAlignment="1" pivotButton="0" quotePrefix="0" xfId="0">
      <alignment horizontal="center" vertical="center"/>
    </xf>
    <xf numFmtId="0" fontId="63" fillId="0" borderId="111" applyAlignment="1" pivotButton="0" quotePrefix="0" xfId="0">
      <alignment horizontal="center" vertical="center"/>
    </xf>
    <xf numFmtId="0" fontId="64" fillId="0" borderId="111" applyAlignment="1" pivotButton="0" quotePrefix="0" xfId="0">
      <alignment horizontal="left" vertical="center"/>
    </xf>
    <xf numFmtId="0" fontId="64" fillId="38" borderId="111" applyAlignment="1" pivotButton="0" quotePrefix="0" xfId="0">
      <alignment horizontal="center" vertical="center"/>
    </xf>
    <xf numFmtId="171" fontId="63" fillId="0" borderId="111" applyAlignment="1" pivotButton="0" quotePrefix="0" xfId="0">
      <alignment horizontal="center" vertical="center"/>
    </xf>
    <xf numFmtId="173" fontId="63" fillId="0" borderId="111" applyAlignment="1" pivotButton="0" quotePrefix="0" xfId="0">
      <alignment horizontal="center" vertical="center"/>
    </xf>
    <xf numFmtId="9" fontId="65" fillId="48" borderId="111" applyAlignment="1" pivotButton="0" quotePrefix="0" xfId="0">
      <alignment horizontal="center" vertical="center"/>
    </xf>
    <xf numFmtId="0" fontId="0" fillId="38" borderId="112" pivotButton="0" quotePrefix="0" xfId="0"/>
    <xf numFmtId="0" fontId="0" fillId="0" borderId="112" pivotButton="0" quotePrefix="0" xfId="0"/>
    <xf numFmtId="0" fontId="0" fillId="49" borderId="112" pivotButton="0" quotePrefix="0" xfId="0"/>
    <xf numFmtId="0" fontId="0" fillId="0" borderId="114" pivotButton="0" quotePrefix="0" xfId="0"/>
    <xf numFmtId="0" fontId="0" fillId="0" borderId="116" pivotButton="0" quotePrefix="0" xfId="0"/>
    <xf numFmtId="0" fontId="0" fillId="49" borderId="118" pivotButton="0" quotePrefix="0" xfId="0"/>
    <xf numFmtId="0" fontId="0" fillId="0" borderId="120" pivotButton="0" quotePrefix="0" xfId="0"/>
    <xf numFmtId="0" fontId="0" fillId="38" borderId="114" pivotButton="0" quotePrefix="0" xfId="0"/>
    <xf numFmtId="0" fontId="0" fillId="38" borderId="116" pivotButton="0" quotePrefix="0" xfId="0"/>
    <xf numFmtId="0" fontId="0" fillId="38" borderId="118" pivotButton="0" quotePrefix="0" xfId="0"/>
    <xf numFmtId="0" fontId="0" fillId="38" borderId="120" pivotButton="0" quotePrefix="0" xfId="0"/>
    <xf numFmtId="0" fontId="60" fillId="40" borderId="111" applyAlignment="1" pivotButton="0" quotePrefix="0" xfId="0">
      <alignment horizontal="center" vertical="center"/>
    </xf>
    <xf numFmtId="0" fontId="0" fillId="40" borderId="112" pivotButton="0" quotePrefix="0" xfId="0"/>
    <xf numFmtId="0" fontId="64" fillId="41" borderId="111" applyAlignment="1" pivotButton="0" quotePrefix="0" xfId="0">
      <alignment horizontal="center" vertical="center"/>
    </xf>
    <xf numFmtId="0" fontId="0" fillId="41" borderId="112" pivotButton="0" quotePrefix="0" xfId="0"/>
    <xf numFmtId="0" fontId="0" fillId="41" borderId="114" pivotButton="0" quotePrefix="0" xfId="0"/>
    <xf numFmtId="0" fontId="0" fillId="41" borderId="116" pivotButton="0" quotePrefix="0" xfId="0"/>
    <xf numFmtId="0" fontId="60" fillId="39" borderId="111" applyAlignment="1" pivotButton="0" quotePrefix="0" xfId="0">
      <alignment horizontal="center" vertical="center"/>
    </xf>
    <xf numFmtId="0" fontId="0" fillId="39" borderId="112" pivotButton="0" quotePrefix="0" xfId="0"/>
    <xf numFmtId="0" fontId="0" fillId="39" borderId="114" pivotButton="0" quotePrefix="0" xfId="0"/>
    <xf numFmtId="0" fontId="0" fillId="39" borderId="116" pivotButton="0" quotePrefix="0" xfId="0"/>
    <xf numFmtId="0" fontId="0" fillId="39" borderId="118" pivotButton="0" quotePrefix="0" xfId="0"/>
    <xf numFmtId="0" fontId="0" fillId="39" borderId="120" pivotButton="0" quotePrefix="0" xfId="0"/>
    <xf numFmtId="0" fontId="60" fillId="42" borderId="111" applyAlignment="1" pivotButton="0" quotePrefix="0" xfId="0">
      <alignment horizontal="center" vertical="center"/>
    </xf>
    <xf numFmtId="0" fontId="0" fillId="42" borderId="114" pivotButton="0" quotePrefix="0" xfId="0"/>
    <xf numFmtId="0" fontId="0" fillId="42" borderId="112" pivotButton="0" quotePrefix="0" xfId="0"/>
    <xf numFmtId="0" fontId="0" fillId="42" borderId="116" pivotButton="0" quotePrefix="0" xfId="0"/>
    <xf numFmtId="0" fontId="0" fillId="42" borderId="118" pivotButton="0" quotePrefix="0" xfId="0"/>
    <xf numFmtId="0" fontId="0" fillId="42" borderId="120" pivotButton="0" quotePrefix="0" xfId="0"/>
    <xf numFmtId="0" fontId="0" fillId="40" borderId="118" pivotButton="0" quotePrefix="0" xfId="0"/>
    <xf numFmtId="0" fontId="0" fillId="40" borderId="120" pivotButton="0" quotePrefix="0" xfId="0"/>
    <xf numFmtId="0" fontId="60" fillId="43" borderId="111" applyAlignment="1" pivotButton="0" quotePrefix="0" xfId="0">
      <alignment horizontal="center" vertical="center"/>
    </xf>
    <xf numFmtId="0" fontId="0" fillId="43" borderId="114" pivotButton="0" quotePrefix="0" xfId="0"/>
    <xf numFmtId="0" fontId="0" fillId="43" borderId="112" pivotButton="0" quotePrefix="0" xfId="0"/>
    <xf numFmtId="0" fontId="0" fillId="43" borderId="116" pivotButton="0" quotePrefix="0" xfId="0"/>
    <xf numFmtId="0" fontId="0" fillId="43" borderId="118" pivotButton="0" quotePrefix="0" xfId="0"/>
    <xf numFmtId="0" fontId="0" fillId="43" borderId="120" pivotButton="0" quotePrefix="0" xfId="0"/>
    <xf numFmtId="0" fontId="60" fillId="44" borderId="111" applyAlignment="1" pivotButton="0" quotePrefix="0" xfId="0">
      <alignment horizontal="center" vertical="center"/>
    </xf>
    <xf numFmtId="0" fontId="0" fillId="44" borderId="112" pivotButton="0" quotePrefix="0" xfId="0"/>
    <xf numFmtId="0" fontId="0" fillId="44" borderId="114" pivotButton="0" quotePrefix="0" xfId="0"/>
    <xf numFmtId="0" fontId="0" fillId="44" borderId="116" pivotButton="0" quotePrefix="0" xfId="0"/>
    <xf numFmtId="0" fontId="0" fillId="44" borderId="118" pivotButton="0" quotePrefix="0" xfId="0"/>
    <xf numFmtId="0" fontId="0" fillId="44" borderId="120" pivotButton="0" quotePrefix="0" xfId="0"/>
    <xf numFmtId="0" fontId="70" fillId="50" borderId="111" applyAlignment="1" pivotButton="0" quotePrefix="0" xfId="0">
      <alignment horizontal="center" vertical="center"/>
    </xf>
    <xf numFmtId="0" fontId="0" fillId="50" borderId="111" pivotButton="0" quotePrefix="0" xfId="0"/>
    <xf numFmtId="0" fontId="54" fillId="50" borderId="111" applyAlignment="1" pivotButton="0" quotePrefix="0" xfId="0">
      <alignment horizontal="center" vertical="center"/>
    </xf>
    <xf numFmtId="0" fontId="53" fillId="50" borderId="111" applyAlignment="1" pivotButton="0" quotePrefix="0" xfId="0">
      <alignment horizontal="center" vertical="center"/>
    </xf>
    <xf numFmtId="0" fontId="71" fillId="50" borderId="111" applyAlignment="1" pivotButton="0" quotePrefix="0" xfId="0">
      <alignment horizontal="center" vertical="center"/>
    </xf>
    <xf numFmtId="0" fontId="72" fillId="51" borderId="111" applyAlignment="1" pivotButton="0" quotePrefix="0" xfId="0">
      <alignment horizontal="left" vertical="center" wrapText="1"/>
    </xf>
    <xf numFmtId="0" fontId="0" fillId="51" borderId="111" pivotButton="0" quotePrefix="0" xfId="0"/>
    <xf numFmtId="0" fontId="70" fillId="45" borderId="111" applyAlignment="1" pivotButton="0" quotePrefix="0" xfId="0">
      <alignment horizontal="left" vertical="center" wrapText="1"/>
    </xf>
    <xf numFmtId="0" fontId="54" fillId="37" borderId="111" applyAlignment="1" pivotButton="0" quotePrefix="0" xfId="0">
      <alignment horizontal="left" vertical="center" wrapText="1"/>
    </xf>
    <xf numFmtId="0" fontId="73" fillId="46" borderId="111" applyAlignment="1" pivotButton="0" quotePrefix="0" xfId="0">
      <alignment horizontal="left" vertical="center" wrapText="1"/>
    </xf>
    <xf numFmtId="0" fontId="53" fillId="36" borderId="111" applyAlignment="1" pivotButton="0" quotePrefix="0" xfId="0">
      <alignment horizontal="left" vertical="center" wrapText="1"/>
    </xf>
    <xf numFmtId="0" fontId="0" fillId="36" borderId="111" pivotButton="0" quotePrefix="0" xfId="0"/>
    <xf numFmtId="0" fontId="55" fillId="52" borderId="111" applyAlignment="1" pivotButton="0" quotePrefix="0" xfId="0">
      <alignment horizontal="left" vertical="center" wrapText="1"/>
    </xf>
    <xf numFmtId="0" fontId="0" fillId="52" borderId="111" pivotButton="0" quotePrefix="0" xfId="0"/>
    <xf numFmtId="0" fontId="1" fillId="2" borderId="77" applyAlignment="1" pivotButton="0" quotePrefix="0" xfId="0">
      <alignment horizontal="left" vertical="center"/>
    </xf>
    <xf numFmtId="0" fontId="4" fillId="4" borderId="77" applyAlignment="1" pivotButton="0" quotePrefix="0" xfId="0">
      <alignment horizontal="left" vertical="center"/>
    </xf>
    <xf numFmtId="0" fontId="5" fillId="5" borderId="77" applyAlignment="1" pivotButton="0" quotePrefix="0" xfId="0">
      <alignment horizontal="left" vertical="center"/>
    </xf>
    <xf numFmtId="0" fontId="74" fillId="47" borderId="0" applyAlignment="1" pivotButton="0" quotePrefix="0" xfId="0">
      <alignment horizontal="left" vertical="center"/>
    </xf>
    <xf numFmtId="0" fontId="0" fillId="47" borderId="0" pivotButton="0" quotePrefix="0" xfId="0"/>
    <xf numFmtId="0" fontId="75" fillId="0" borderId="111" applyAlignment="1" pivotButton="0" quotePrefix="0" xfId="0">
      <alignment horizontal="left" vertical="center" wrapText="1"/>
    </xf>
    <xf numFmtId="0" fontId="0" fillId="0" borderId="111" applyAlignment="1" pivotButton="0" quotePrefix="0" xfId="0">
      <alignment horizontal="center" vertical="center" wrapText="1"/>
    </xf>
    <xf numFmtId="164" fontId="76" fillId="48" borderId="111" applyAlignment="1" pivotButton="0" quotePrefix="0" xfId="0">
      <alignment horizontal="center" vertical="center"/>
    </xf>
    <xf numFmtId="0" fontId="52" fillId="0" borderId="111" applyAlignment="1" pivotButton="0" quotePrefix="0" xfId="0">
      <alignment horizontal="center" vertical="center" wrapText="1"/>
    </xf>
    <xf numFmtId="0" fontId="52" fillId="0" borderId="111" applyAlignment="1" pivotButton="0" quotePrefix="0" xfId="0">
      <alignment horizontal="left" vertical="center" wrapText="1"/>
    </xf>
    <xf numFmtId="165" fontId="76" fillId="48" borderId="111" applyAlignment="1" pivotButton="0" quotePrefix="0" xfId="0">
      <alignment horizontal="center" vertical="center"/>
    </xf>
    <xf numFmtId="2" fontId="76" fillId="48" borderId="111" applyAlignment="1" pivotButton="0" quotePrefix="0" xfId="0">
      <alignment horizontal="center" vertical="center"/>
    </xf>
    <xf numFmtId="172" fontId="77" fillId="52" borderId="111" applyAlignment="1" pivotButton="0" quotePrefix="0" xfId="0">
      <alignment horizontal="center" vertical="center"/>
    </xf>
    <xf numFmtId="166" fontId="77" fillId="52" borderId="111" applyAlignment="1" pivotButton="0" quotePrefix="0" xfId="0">
      <alignment horizontal="center" vertical="center"/>
    </xf>
    <xf numFmtId="0" fontId="78" fillId="51" borderId="111" applyAlignment="1" pivotButton="0" quotePrefix="0" xfId="0">
      <alignment horizontal="left" vertical="center" wrapText="1"/>
    </xf>
    <xf numFmtId="0" fontId="0" fillId="51" borderId="111" applyAlignment="1" pivotButton="0" quotePrefix="0" xfId="0">
      <alignment horizontal="center" vertical="center" wrapText="1"/>
    </xf>
    <xf numFmtId="166" fontId="79" fillId="51" borderId="111" applyAlignment="1" pivotButton="0" quotePrefix="0" xfId="0">
      <alignment horizontal="center" vertical="center"/>
    </xf>
    <xf numFmtId="172" fontId="79" fillId="51" borderId="111" applyAlignment="1" pivotButton="0" quotePrefix="0" xfId="0">
      <alignment horizontal="center" vertical="center"/>
    </xf>
    <xf numFmtId="174" fontId="79" fillId="51" borderId="111" applyAlignment="1" pivotButton="0" quotePrefix="0" xfId="0">
      <alignment horizontal="center" vertical="center"/>
    </xf>
    <xf numFmtId="175" fontId="79" fillId="51" borderId="111" applyAlignment="1" pivotButton="0" quotePrefix="0" xfId="0">
      <alignment horizontal="center" vertical="center"/>
    </xf>
    <xf numFmtId="176" fontId="79" fillId="51" borderId="111" applyAlignment="1" pivotButton="0" quotePrefix="0" xfId="0">
      <alignment horizontal="center" vertical="center"/>
    </xf>
    <xf numFmtId="169" fontId="79" fillId="51" borderId="111" applyAlignment="1" pivotButton="0" quotePrefix="0" xfId="0">
      <alignment horizontal="center" vertical="center"/>
    </xf>
    <xf numFmtId="174" fontId="77" fillId="52" borderId="111" applyAlignment="1" pivotButton="0" quotePrefix="0" xfId="0">
      <alignment horizontal="center" vertical="center"/>
    </xf>
    <xf numFmtId="0" fontId="80" fillId="51" borderId="111" applyAlignment="1" pivotButton="0" quotePrefix="0" xfId="0">
      <alignment horizontal="center" vertical="center" wrapText="1"/>
    </xf>
    <xf numFmtId="0" fontId="64" fillId="0" borderId="111" applyAlignment="1" pivotButton="0" quotePrefix="0" xfId="0">
      <alignment horizontal="left" vertical="center" wrapText="1"/>
    </xf>
    <xf numFmtId="0" fontId="0" fillId="0" borderId="111" applyAlignment="1" pivotButton="0" quotePrefix="0" xfId="0">
      <alignment horizontal="left" vertical="center" wrapText="1"/>
    </xf>
    <xf numFmtId="169" fontId="81" fillId="48" borderId="111" applyAlignment="1" pivotButton="0" quotePrefix="0" xfId="0">
      <alignment horizontal="center" vertical="center"/>
    </xf>
    <xf numFmtId="0" fontId="82" fillId="0" borderId="111" applyAlignment="1" pivotButton="0" quotePrefix="0" xfId="0">
      <alignment horizontal="left" vertical="center" wrapText="1"/>
    </xf>
    <xf numFmtId="169" fontId="77" fillId="52" borderId="111" applyAlignment="1" pivotButton="0" quotePrefix="0" xfId="0">
      <alignment horizontal="center" vertical="center"/>
    </xf>
    <xf numFmtId="0" fontId="72" fillId="0" borderId="111" applyAlignment="1" pivotButton="0" quotePrefix="0" xfId="0">
      <alignment horizontal="left" vertical="center" wrapText="1"/>
    </xf>
    <xf numFmtId="168" fontId="77" fillId="52" borderId="111" applyAlignment="1" pivotButton="0" quotePrefix="0" xfId="0">
      <alignment horizontal="center" vertical="center"/>
    </xf>
    <xf numFmtId="172" fontId="81" fillId="48" borderId="111" applyAlignment="1" pivotButton="0" quotePrefix="0" xfId="0">
      <alignment horizontal="center" vertical="center"/>
    </xf>
    <xf numFmtId="178" fontId="77" fillId="52" borderId="111" applyAlignment="1" pivotButton="0" quotePrefix="0" xfId="0">
      <alignment horizontal="center" vertical="center"/>
    </xf>
    <xf numFmtId="0" fontId="71" fillId="53" borderId="111" applyAlignment="1" pivotButton="0" quotePrefix="0" xfId="0">
      <alignment horizontal="left" vertical="center" wrapText="1"/>
    </xf>
    <xf numFmtId="0" fontId="0" fillId="53" borderId="111" pivotButton="0" quotePrefix="0" xfId="0"/>
    <xf numFmtId="0" fontId="60" fillId="47" borderId="121" applyAlignment="1" pivotButton="0" quotePrefix="0" xfId="0">
      <alignment horizontal="center" vertical="center" wrapText="1"/>
    </xf>
    <xf numFmtId="0" fontId="0" fillId="47" borderId="122" pivotButton="0" quotePrefix="0" xfId="0"/>
    <xf numFmtId="0" fontId="0" fillId="47" borderId="123" pivotButton="0" quotePrefix="0" xfId="0"/>
    <xf numFmtId="172" fontId="83" fillId="51" borderId="124" applyAlignment="1" pivotButton="0" quotePrefix="0" xfId="0">
      <alignment horizontal="center" vertical="center"/>
    </xf>
    <xf numFmtId="0" fontId="0" fillId="51" borderId="125" pivotButton="0" quotePrefix="0" xfId="0"/>
    <xf numFmtId="0" fontId="0" fillId="51" borderId="126" pivotButton="0" quotePrefix="0" xfId="0"/>
    <xf numFmtId="0" fontId="82" fillId="51" borderId="127" applyAlignment="1" pivotButton="0" quotePrefix="0" xfId="0">
      <alignment horizontal="center" vertical="center" wrapText="1"/>
    </xf>
    <xf numFmtId="0" fontId="0" fillId="51" borderId="128" pivotButton="0" quotePrefix="0" xfId="0"/>
    <xf numFmtId="0" fontId="0" fillId="51" borderId="129" pivotButton="0" quotePrefix="0" xfId="0"/>
    <xf numFmtId="0" fontId="60" fillId="54" borderId="130" applyAlignment="1" pivotButton="0" quotePrefix="0" xfId="0">
      <alignment horizontal="center" vertical="center" wrapText="1"/>
    </xf>
    <xf numFmtId="0" fontId="0" fillId="54" borderId="131" pivotButton="0" quotePrefix="0" xfId="0"/>
    <xf numFmtId="0" fontId="0" fillId="54" borderId="132" pivotButton="0" quotePrefix="0" xfId="0"/>
    <xf numFmtId="0" fontId="60" fillId="55" borderId="138" applyAlignment="1" pivotButton="0" quotePrefix="0" xfId="0">
      <alignment horizontal="center" vertical="center" wrapText="1"/>
    </xf>
    <xf numFmtId="0" fontId="0" fillId="55" borderId="139" pivotButton="0" quotePrefix="0" xfId="0"/>
    <xf numFmtId="0" fontId="0" fillId="55" borderId="140" pivotButton="0" quotePrefix="0" xfId="0"/>
    <xf numFmtId="172" fontId="84" fillId="51" borderId="133" applyAlignment="1" pivotButton="0" quotePrefix="0" xfId="0">
      <alignment horizontal="center" vertical="center"/>
    </xf>
    <xf numFmtId="0" fontId="0" fillId="51" borderId="134" pivotButton="0" quotePrefix="0" xfId="0"/>
    <xf numFmtId="172" fontId="85" fillId="51" borderId="141" applyAlignment="1" pivotButton="0" quotePrefix="0" xfId="0">
      <alignment horizontal="center" vertical="center"/>
    </xf>
    <xf numFmtId="0" fontId="0" fillId="51" borderId="142" pivotButton="0" quotePrefix="0" xfId="0"/>
    <xf numFmtId="0" fontId="82" fillId="51" borderId="135" applyAlignment="1" pivotButton="0" quotePrefix="0" xfId="0">
      <alignment horizontal="center" vertical="center" wrapText="1"/>
    </xf>
    <xf numFmtId="0" fontId="0" fillId="51" borderId="136" pivotButton="0" quotePrefix="0" xfId="0"/>
    <xf numFmtId="0" fontId="0" fillId="51" borderId="137" pivotButton="0" quotePrefix="0" xfId="0"/>
    <xf numFmtId="0" fontId="82" fillId="51" borderId="143" applyAlignment="1" pivotButton="0" quotePrefix="0" xfId="0">
      <alignment horizontal="center" vertical="center" wrapText="1"/>
    </xf>
    <xf numFmtId="0" fontId="0" fillId="51" borderId="144" pivotButton="0" quotePrefix="0" xfId="0"/>
    <xf numFmtId="0" fontId="0" fillId="51" borderId="145" pivotButton="0" quotePrefix="0" xfId="0"/>
    <xf numFmtId="166" fontId="83" fillId="51" borderId="124" applyAlignment="1" pivotButton="0" quotePrefix="0" xfId="0">
      <alignment horizontal="center" vertical="center"/>
    </xf>
    <xf numFmtId="0" fontId="60" fillId="56" borderId="146" applyAlignment="1" pivotButton="0" quotePrefix="0" xfId="0">
      <alignment horizontal="center" vertical="center" wrapText="1"/>
    </xf>
    <xf numFmtId="0" fontId="0" fillId="56" borderId="147" pivotButton="0" quotePrefix="0" xfId="0"/>
    <xf numFmtId="0" fontId="0" fillId="56" borderId="148" pivotButton="0" quotePrefix="0" xfId="0"/>
    <xf numFmtId="0" fontId="60" fillId="57" borderId="154" applyAlignment="1" pivotButton="0" quotePrefix="0" xfId="0">
      <alignment horizontal="center" vertical="center" wrapText="1"/>
    </xf>
    <xf numFmtId="0" fontId="0" fillId="57" borderId="155" pivotButton="0" quotePrefix="0" xfId="0"/>
    <xf numFmtId="0" fontId="0" fillId="57" borderId="156" pivotButton="0" quotePrefix="0" xfId="0"/>
    <xf numFmtId="169" fontId="83" fillId="51" borderId="124" applyAlignment="1" pivotButton="0" quotePrefix="0" xfId="0">
      <alignment horizontal="center" vertical="center"/>
    </xf>
    <xf numFmtId="169" fontId="86" fillId="51" borderId="149" applyAlignment="1" pivotButton="0" quotePrefix="0" xfId="0">
      <alignment horizontal="center" vertical="center"/>
    </xf>
    <xf numFmtId="0" fontId="0" fillId="51" borderId="150" pivotButton="0" quotePrefix="0" xfId="0"/>
    <xf numFmtId="175" fontId="87" fillId="51" borderId="157" applyAlignment="1" pivotButton="0" quotePrefix="0" xfId="0">
      <alignment horizontal="center" vertical="center"/>
    </xf>
    <xf numFmtId="0" fontId="0" fillId="51" borderId="158" pivotButton="0" quotePrefix="0" xfId="0"/>
    <xf numFmtId="176" fontId="84" fillId="51" borderId="133" applyAlignment="1" pivotButton="0" quotePrefix="0" xfId="0">
      <alignment horizontal="center" vertical="center"/>
    </xf>
    <xf numFmtId="0" fontId="82" fillId="51" borderId="151" applyAlignment="1" pivotButton="0" quotePrefix="0" xfId="0">
      <alignment horizontal="center" vertical="center" wrapText="1"/>
    </xf>
    <xf numFmtId="0" fontId="0" fillId="51" borderId="152" pivotButton="0" quotePrefix="0" xfId="0"/>
    <xf numFmtId="0" fontId="0" fillId="51" borderId="153" pivotButton="0" quotePrefix="0" xfId="0"/>
    <xf numFmtId="0" fontId="82" fillId="51" borderId="159" applyAlignment="1" pivotButton="0" quotePrefix="0" xfId="0">
      <alignment horizontal="center" vertical="center" wrapText="1"/>
    </xf>
    <xf numFmtId="0" fontId="0" fillId="51" borderId="160" pivotButton="0" quotePrefix="0" xfId="0"/>
    <xf numFmtId="0" fontId="0" fillId="51" borderId="161" pivotButton="0" quotePrefix="0" xfId="0"/>
    <xf numFmtId="0" fontId="75" fillId="58" borderId="111" applyAlignment="1" pivotButton="0" quotePrefix="0" xfId="0">
      <alignment horizontal="center" vertical="center"/>
    </xf>
    <xf numFmtId="0" fontId="0" fillId="58" borderId="111" pivotButton="0" quotePrefix="0" xfId="0"/>
    <xf numFmtId="171" fontId="88" fillId="58" borderId="111" applyAlignment="1" pivotButton="0" quotePrefix="0" xfId="0">
      <alignment horizontal="center" vertical="center"/>
    </xf>
    <xf numFmtId="172" fontId="88" fillId="58" borderId="111" applyAlignment="1" pivotButton="0" quotePrefix="0" xfId="0">
      <alignment horizontal="center" vertical="center"/>
    </xf>
    <xf numFmtId="172" fontId="88" fillId="52" borderId="111" applyAlignment="1" pivotButton="0" quotePrefix="0" xfId="0">
      <alignment horizontal="center" vertical="center"/>
    </xf>
    <xf numFmtId="168" fontId="88" fillId="58" borderId="111" applyAlignment="1" pivotButton="0" quotePrefix="0" xfId="0">
      <alignment horizontal="center" vertical="center"/>
    </xf>
    <xf numFmtId="166" fontId="81" fillId="48" borderId="111" applyAlignment="1" pivotButton="0" quotePrefix="0" xfId="0">
      <alignment horizontal="center" vertical="center"/>
    </xf>
    <xf numFmtId="0" fontId="0" fillId="48" borderId="111" pivotButton="0" quotePrefix="0" xfId="0"/>
    <xf numFmtId="166" fontId="88" fillId="52" borderId="111" applyAlignment="1" pivotButton="0" quotePrefix="0" xfId="0">
      <alignment horizontal="center" vertical="center"/>
    </xf>
    <xf numFmtId="165" fontId="77" fillId="52" borderId="111" applyAlignment="1" pivotButton="0" quotePrefix="0" xfId="0">
      <alignment horizontal="center" vertical="center"/>
    </xf>
    <xf numFmtId="165" fontId="89" fillId="52" borderId="111" applyAlignment="1" pivotButton="0" quotePrefix="0" xfId="0">
      <alignment horizontal="center" vertical="center"/>
    </xf>
    <xf numFmtId="0" fontId="90" fillId="47" borderId="111" applyAlignment="1" pivotButton="0" quotePrefix="0" xfId="0">
      <alignment horizontal="center" vertical="center"/>
    </xf>
    <xf numFmtId="172" fontId="90" fillId="47" borderId="111" applyAlignment="1" pivotButton="0" quotePrefix="0" xfId="0">
      <alignment horizontal="center" vertical="center"/>
    </xf>
    <xf numFmtId="168" fontId="90" fillId="47" borderId="111" applyAlignment="1" pivotButton="0" quotePrefix="0" xfId="0">
      <alignment horizontal="center" vertical="center"/>
    </xf>
    <xf numFmtId="166" fontId="90" fillId="47" borderId="111" applyAlignment="1" pivotButton="0" quotePrefix="0" xfId="0">
      <alignment horizontal="center" vertical="center"/>
    </xf>
    <xf numFmtId="165" fontId="90" fillId="47" borderId="111" applyAlignment="1" pivotButton="0" quotePrefix="0" xfId="0">
      <alignment horizontal="center" vertical="center"/>
    </xf>
    <xf numFmtId="0" fontId="60" fillId="34" borderId="111" applyAlignment="1" pivotButton="0" quotePrefix="0" xfId="0">
      <alignment horizontal="center" vertical="center"/>
    </xf>
    <xf numFmtId="0" fontId="64" fillId="35" borderId="111" applyAlignment="1" pivotButton="0" quotePrefix="0" xfId="0">
      <alignment horizontal="center" vertical="center"/>
    </xf>
    <xf numFmtId="172" fontId="91" fillId="59" borderId="111" applyAlignment="1" pivotButton="0" quotePrefix="0" xfId="0">
      <alignment horizontal="center" vertical="center"/>
    </xf>
    <xf numFmtId="172" fontId="92" fillId="60" borderId="111" applyAlignment="1" pivotButton="0" quotePrefix="0" xfId="0">
      <alignment horizontal="center" vertical="center"/>
    </xf>
    <xf numFmtId="172" fontId="93" fillId="61" borderId="111" applyAlignment="1" pivotButton="0" quotePrefix="0" xfId="0">
      <alignment horizontal="center" vertical="center"/>
    </xf>
    <xf numFmtId="172" fontId="94" fillId="62" borderId="111" applyAlignment="1" pivotButton="0" quotePrefix="0" xfId="0">
      <alignment horizontal="center" vertical="center"/>
    </xf>
    <xf numFmtId="172" fontId="95" fillId="63" borderId="111" applyAlignment="1" pivotButton="0" quotePrefix="0" xfId="0">
      <alignment horizontal="center" vertical="center"/>
    </xf>
    <xf numFmtId="172" fontId="96" fillId="64" borderId="111" applyAlignment="1" pivotButton="0" quotePrefix="0" xfId="0">
      <alignment horizontal="center" vertical="center"/>
    </xf>
    <xf numFmtId="165" fontId="52" fillId="52" borderId="111" applyAlignment="1" pivotButton="0" quotePrefix="0" xfId="0">
      <alignment horizontal="center" vertical="center"/>
    </xf>
    <xf numFmtId="166" fontId="97" fillId="52" borderId="111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 wrapText="1"/>
    </xf>
    <xf numFmtId="166" fontId="98" fillId="52" borderId="111" applyAlignment="1" pivotButton="0" quotePrefix="0" xfId="0">
      <alignment horizontal="center" vertical="center"/>
    </xf>
  </cellXfs>
  <cellStyles count="1">
    <cellStyle name="Normal" xfId="0" builtinId="0"/>
  </cellStyles>
  <dxfs count="39">
    <dxf>
      <font>
        <name val="Arial"/>
        <b val="1"/>
        <color rgb="FF1E6B34"/>
        <sz val="10"/>
      </font>
      <fill>
        <patternFill patternType="solid">
          <fgColor rgb="FFC6EFCE"/>
          <bgColor rgb="FFC6EFCE"/>
        </patternFill>
      </fill>
      <border/>
    </dxf>
    <dxf>
      <font>
        <name val="Arial"/>
        <b val="1"/>
        <color rgb="FF1F4E79"/>
        <sz val="10"/>
      </font>
      <fill>
        <patternFill patternType="solid">
          <fgColor rgb="FFBDD7EE"/>
          <bgColor rgb="FFBDD7EE"/>
        </patternFill>
      </fill>
      <border/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  <border/>
    </dxf>
    <dxf>
      <font>
        <name val="Arial"/>
        <b val="1"/>
        <color rgb="FF8A6100"/>
        <sz val="10"/>
      </font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595959"/>
        <sz val="10"/>
      </font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DEDEE"/>
          <bgColor rgb="FFFDEDEE"/>
        </patternFill>
      </fill>
      <border/>
    </dxf>
    <dxf>
      <font/>
      <fill>
        <patternFill patternType="solid">
          <fgColor rgb="FFFFF8E1"/>
          <bgColor rgb="FFFFF8E1"/>
        </patternFill>
      </fill>
      <border/>
    </dxf>
    <dxf>
      <font>
        <name val="Arial"/>
        <b val="1"/>
        <color rgb="FF9C0006"/>
        <sz val="12"/>
      </font>
      <fill>
        <patternFill patternType="solid">
          <fgColor rgb="FFFFC7CE"/>
          <bgColor rgb="FFFFC7CE"/>
        </patternFill>
      </fill>
      <border/>
    </dxf>
    <dxf>
      <font>
        <name val="Arial"/>
        <b val="1"/>
        <color rgb="FF8A6100"/>
        <sz val="12"/>
      </font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1E6B34"/>
        <sz val="12"/>
      </font>
      <fill>
        <patternFill patternType="solid">
          <fgColor rgb="FFC6EFCE"/>
          <bgColor rgb="FFC6EFCE"/>
        </patternFill>
      </fill>
      <border/>
    </dxf>
    <dxf>
      <font>
        <name val="Arial"/>
        <b val="1"/>
        <color rgb="FF1E6B34"/>
        <sz val="9"/>
      </font>
      <fill>
        <patternFill/>
      </fill>
      <border/>
    </dxf>
    <dxf>
      <font>
        <name val="Arial"/>
        <b val="1"/>
        <color rgb="FF595959"/>
        <sz val="9"/>
      </font>
      <fill>
        <patternFill patternType="solid">
          <fgColor rgb="FFE7E7E7"/>
          <bgColor rgb="FFE7E7E7"/>
        </patternFill>
      </fill>
      <border/>
    </dxf>
    <dxf>
      <font>
        <name val="Arial"/>
        <b val="1"/>
        <color rgb="FF8A4B00"/>
        <sz val="9"/>
      </font>
      <fill>
        <patternFill patternType="solid">
          <fgColor rgb="FFFFE0C2"/>
          <bgColor rgb="FFFFE0C2"/>
        </patternFill>
      </fill>
      <border/>
    </dxf>
    <dxf>
      <font>
        <name val="Arial"/>
        <b val="1"/>
        <color rgb="FF1F4E79"/>
        <sz val="9"/>
      </font>
      <fill>
        <patternFill patternType="solid">
          <fgColor rgb="FFBDD7EE"/>
          <bgColor rgb="FFBDD7EE"/>
        </patternFill>
      </fill>
      <border/>
    </dxf>
    <dxf>
      <font>
        <name val="Arial"/>
        <b val="1"/>
        <color rgb="FF8A6100"/>
        <sz val="9"/>
      </font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3F6B22"/>
        <sz val="9"/>
      </font>
      <fill>
        <patternFill patternType="solid">
          <fgColor rgb="FFD5EAC5"/>
          <bgColor rgb="FFD5EAC5"/>
        </patternFill>
      </fill>
      <border/>
    </dxf>
    <dxf>
      <font>
        <name val="Arial"/>
        <b val="1"/>
        <color rgb="FF1E6B34"/>
        <sz val="9"/>
      </font>
      <fill>
        <patternFill patternType="solid">
          <fgColor rgb="FFC6EFCE"/>
          <bgColor rgb="FFC6EFCE"/>
        </patternFill>
      </fill>
      <border/>
    </dxf>
    <dxf>
      <font>
        <name val="Arial"/>
        <b val="1"/>
        <color rgb="FF000000"/>
        <sz val="9"/>
      </font>
      <fill>
        <patternFill patternType="solid">
          <fgColor rgb="FFE2EFDA"/>
          <bgColor rgb="FFE2EFDA"/>
        </patternFill>
      </fill>
      <border/>
    </dxf>
    <dxf>
      <font>
        <name val="Arial"/>
        <b val="1"/>
        <color rgb="FF000000"/>
        <sz val="9"/>
      </font>
      <fill>
        <patternFill patternType="solid">
          <fgColor rgb="FFFFF2CC"/>
          <bgColor rgb="FFFFF2CC"/>
        </patternFill>
      </fill>
      <border/>
    </dxf>
    <dxf>
      <font>
        <name val="Arial"/>
        <b val="1"/>
        <color rgb="FF000000"/>
        <sz val="9"/>
      </font>
      <fill>
        <patternFill patternType="solid">
          <fgColor rgb="FFFCE4D6"/>
          <bgColor rgb="FFFCE4D6"/>
        </patternFill>
      </fill>
      <border/>
    </dxf>
    <dxf>
      <font>
        <name val="Arial"/>
        <b val="1"/>
        <color rgb="FF000000"/>
        <sz val="9"/>
      </font>
      <fill>
        <patternFill patternType="solid">
          <fgColor rgb="FFE7E7E7"/>
          <bgColor rgb="FFE7E7E7"/>
        </patternFill>
      </fill>
      <border/>
    </dxf>
    <dxf>
      <font>
        <name val="Arial"/>
        <b val="1"/>
        <color rgb="FF5B3A87"/>
        <sz val="9"/>
      </font>
      <fill>
        <patternFill patternType="solid">
          <fgColor rgb="FFE4DFEC"/>
          <bgColor rgb="FFE4DFEC"/>
        </patternFill>
      </fill>
      <border/>
    </dxf>
    <dxf>
      <font>
        <name val="Arial"/>
        <b val="1"/>
        <color rgb="FF1F4E79"/>
        <sz val="9"/>
      </font>
      <fill>
        <patternFill patternType="solid">
          <fgColor rgb="FFDEEBF7"/>
          <bgColor rgb="FFDEEBF7"/>
        </patternFill>
      </fill>
      <border/>
    </dxf>
    <dxf>
      <font>
        <name val="Arial"/>
        <b val="1"/>
        <color rgb="FF1E4620"/>
        <sz val="9"/>
      </font>
      <fill>
        <patternFill patternType="solid">
          <fgColor rgb="FFA9D08E"/>
          <bgColor rgb="FFA9D08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8A6100"/>
        <sz val="9"/>
      </font>
      <fill>
        <patternFill patternType="solid">
          <fgColor rgb="FFFFF2CC"/>
          <bgColor rgb="FFFFF2CC"/>
        </patternFill>
      </fill>
      <border/>
    </dxf>
    <dxf>
      <font>
        <name val="Arial"/>
        <b val="1"/>
        <color rgb="001E6B34"/>
        <sz val="10"/>
      </font>
      <fill>
        <patternFill patternType="solid">
          <fgColor rgb="00C6EFCE"/>
        </patternFill>
      </fill>
    </dxf>
    <dxf>
      <font>
        <name val="Arial"/>
        <b val="1"/>
        <color rgb="001F4E79"/>
        <sz val="10"/>
      </font>
      <fill>
        <patternFill patternType="solid">
          <fgColor rgb="00BDD7E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8A6100"/>
        <sz val="10"/>
      </font>
      <fill>
        <patternFill patternType="solid">
          <fgColor rgb="00FFEB9C"/>
        </patternFill>
      </fill>
    </dxf>
    <dxf>
      <font>
        <name val="Arial"/>
        <b val="1"/>
        <color rgb="00595959"/>
        <sz val="10"/>
      </font>
      <fill>
        <patternFill patternType="solid">
          <fgColor rgb="00E7E7E7"/>
        </patternFill>
      </fill>
    </dxf>
    <dxf>
      <fill>
        <patternFill patternType="solid">
          <fgColor rgb="00FDEDEE"/>
        </patternFill>
      </fill>
    </dxf>
    <dxf>
      <fill>
        <patternFill patternType="solid">
          <fgColor rgb="00FFF8E1"/>
        </patternFill>
      </fill>
    </dxf>
    <dxf>
      <font>
        <name val="Arial"/>
        <b val="1"/>
        <color rgb="001E6B34"/>
        <sz val="9"/>
      </font>
    </dxf>
    <dxf>
      <font>
        <name val="Arial"/>
        <b val="1"/>
        <color rgb="009C0006"/>
        <sz val="12"/>
      </font>
      <fill>
        <patternFill patternType="solid">
          <fgColor rgb="00FFC7CE"/>
        </patternFill>
      </fill>
    </dxf>
    <dxf>
      <font>
        <name val="Arial"/>
        <b val="1"/>
        <color rgb="008A6100"/>
        <sz val="12"/>
      </font>
      <fill>
        <patternFill patternType="solid">
          <fgColor rgb="00FFEB9C"/>
        </patternFill>
      </fill>
    </dxf>
    <dxf>
      <font>
        <name val="Arial"/>
        <b val="1"/>
        <color rgb="001E6B34"/>
        <sz val="12"/>
      </font>
      <fill>
        <patternFill patternType="solid">
          <fgColor rgb="00C6EFCE"/>
        </patternFill>
      </fill>
    </dxf>
    <dxf>
      <font>
        <name val="Arial"/>
        <b val="1"/>
        <color rgb="009C0006"/>
        <sz val="11"/>
      </font>
      <fill>
        <patternFill patternType="solid">
          <fgColor rgb="00FFC7CE"/>
        </patternFill>
      </fill>
    </dxf>
    <dxf>
      <font>
        <name val="Arial"/>
        <b val="1"/>
        <color rgb="001E6B34"/>
        <sz val="11"/>
      </font>
      <fill>
        <patternFill patternType="solid">
          <fgColor rgb="00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① 移管ステータス別 企業数（積み上げ）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'KPI'!C47</f>
            </strRef>
          </tx>
          <spPr>
            <a:ln>
              <a:prstDash val="solid"/>
            </a:ln>
          </spPr>
          <cat>
            <numRef>
              <f>'KPI'!$B$48</f>
            </numRef>
          </cat>
          <val>
            <numRef>
              <f>'KPI'!$C$48</f>
            </numRef>
          </val>
        </ser>
        <ser>
          <idx val="1"/>
          <order val="1"/>
          <tx>
            <strRef>
              <f>'KPI'!D47</f>
            </strRef>
          </tx>
          <spPr>
            <a:ln>
              <a:prstDash val="solid"/>
            </a:ln>
          </spPr>
          <cat>
            <numRef>
              <f>'KPI'!$B$48</f>
            </numRef>
          </cat>
          <val>
            <numRef>
              <f>'KPI'!$D$48</f>
            </numRef>
          </val>
        </ser>
        <ser>
          <idx val="2"/>
          <order val="2"/>
          <tx>
            <strRef>
              <f>'KPI'!E47</f>
            </strRef>
          </tx>
          <spPr>
            <a:ln>
              <a:prstDash val="solid"/>
            </a:ln>
          </spPr>
          <cat>
            <numRef>
              <f>'KPI'!$B$48</f>
            </numRef>
          </cat>
          <val>
            <numRef>
              <f>'KPI'!$E$48</f>
            </numRef>
          </val>
        </ser>
        <ser>
          <idx val="3"/>
          <order val="3"/>
          <tx>
            <strRef>
              <f>'KPI'!F47</f>
            </strRef>
          </tx>
          <spPr>
            <a:ln>
              <a:prstDash val="solid"/>
            </a:ln>
          </spPr>
          <cat>
            <numRef>
              <f>'KPI'!$B$48</f>
            </numRef>
          </cat>
          <val>
            <numRef>
              <f>'KPI'!$F$48</f>
            </numRef>
          </val>
        </ser>
        <ser>
          <idx val="4"/>
          <order val="4"/>
          <tx>
            <strRef>
              <f>'KPI'!G47</f>
            </strRef>
          </tx>
          <spPr>
            <a:ln>
              <a:prstDash val="solid"/>
            </a:ln>
          </spPr>
          <cat>
            <numRef>
              <f>'KPI'!$B$48</f>
            </numRef>
          </cat>
          <val>
            <numRef>
              <f>'KPI'!$G$48</f>
            </numRef>
          </val>
        </ser>
        <ser>
          <idx val="5"/>
          <order val="5"/>
          <tx>
            <strRef>
              <f>'KPI'!H47</f>
            </strRef>
          </tx>
          <spPr>
            <a:ln>
              <a:prstDash val="solid"/>
            </a:ln>
          </spPr>
          <cat>
            <numRef>
              <f>'KPI'!$B$48</f>
            </numRef>
          </cat>
          <val>
            <numRef>
              <f>'KPI'!$H$48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企業数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② 実運用企業数の推移（計画 vs 実績）</a:t>
            </a:r>
          </a:p>
        </rich>
      </tx>
    </title>
    <plotArea>
      <lineChart>
        <grouping val="standard"/>
        <ser>
          <idx val="0"/>
          <order val="0"/>
          <tx>
            <strRef>
              <f>'KPI'!F25</f>
            </strRef>
          </tx>
          <spPr>
            <a:ln w="28000">
              <a:solidFill>
                <a:srgbClr val="2E4A7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'KPI'!$B$26:$B$42</f>
            </numRef>
          </cat>
          <val>
            <numRef>
              <f>'KPI'!$F$26:$F$42</f>
            </numRef>
          </val>
          <smooth val="0"/>
        </ser>
        <ser>
          <idx val="1"/>
          <order val="1"/>
          <tx>
            <strRef>
              <f>'KPI'!H25</f>
            </strRef>
          </tx>
          <spPr>
            <a:ln w="2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'KPI'!$B$26:$B$42</f>
            </numRef>
          </cat>
          <val>
            <numRef>
              <f>'KPI'!$H$26:$H$42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企業数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③ 計画工数 vs 実績工数（週次）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'KPI'!J25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'KPI'!$B$26:$B$42</f>
            </numRef>
          </cat>
          <val>
            <numRef>
              <f>'KPI'!$J$26:$J$42</f>
            </numRef>
          </val>
        </ser>
        <ser>
          <idx val="1"/>
          <order val="1"/>
          <tx>
            <strRef>
              <f>'KPI'!L25</f>
            </strRef>
          </tx>
          <spPr>
            <a:solidFill>
              <a:srgbClr val="2E4A7D"/>
            </a:solidFill>
            <a:ln>
              <a:prstDash val="solid"/>
            </a:ln>
          </spPr>
          <cat>
            <numRef>
              <f>'KPI'!$B$26:$B$42</f>
            </numRef>
          </cat>
          <val>
            <numRef>
              <f>'KPI'!$L$26:$L$42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工数（h）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④ 現在処理能力 vs 必要処理能力（月）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'KPI'!C52</f>
            </strRef>
          </tx>
          <spPr>
            <a:ln>
              <a:prstDash val="solid"/>
            </a:ln>
          </spPr>
          <cat>
            <numRef>
              <f>'KPI'!$B$53:$B$54</f>
            </numRef>
          </cat>
          <val>
            <numRef>
              <f>'KPI'!$C$53:$C$54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工数（h/月）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⑤ 企業件数進捗 vs 工数進捗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'KPI'!P25</f>
            </strRef>
          </tx>
          <spPr>
            <a:solidFill>
              <a:srgbClr val="2E4A7D"/>
            </a:solidFill>
            <a:ln>
              <a:prstDash val="solid"/>
            </a:ln>
          </spPr>
          <cat>
            <numRef>
              <f>'KPI'!$B$26:$B$42</f>
            </numRef>
          </cat>
          <val>
            <numRef>
              <f>'KPI'!$P$26:$P$42</f>
            </numRef>
          </val>
        </ser>
        <ser>
          <idx val="1"/>
          <order val="1"/>
          <tx>
            <strRef>
              <f>'KPI'!R25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'KPI'!$B$26:$B$42</f>
            </numRef>
          </cat>
          <val>
            <numRef>
              <f>'KPI'!$R$26:$R$42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進捗率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56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56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77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77</row>
      <rowOff>0</rowOff>
    </from>
    <ext cx="57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98</row>
      <rowOff>0</rowOff>
    </from>
    <ext cx="57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hcfzsHGUml7sNVQe9q3FUHHUJ32gCXXK/edit?gid=4614929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24" customWidth="1" style="236" min="1" max="1"/>
    <col width="22" customWidth="1" style="236" min="2" max="2"/>
    <col width="34" customWidth="1" style="236" min="3" max="3"/>
    <col width="10" customWidth="1" style="236" min="4" max="5"/>
    <col width="11" customWidth="1" style="236" min="6" max="6"/>
    <col width="9" customWidth="1" style="236" min="7" max="8"/>
    <col hidden="1" width="9" customWidth="1" style="236" min="9" max="9"/>
    <col width="9" customWidth="1" style="236" min="10" max="10"/>
    <col width="12" customWidth="1" style="236" min="11" max="11"/>
    <col width="40" customWidth="1" style="236" min="12" max="12"/>
    <col width="11" customWidth="1" style="236" min="13" max="13"/>
    <col width="22" customWidth="1" style="236" min="14" max="15"/>
    <col width="8.710000000000001" customWidth="1" style="236" min="16" max="26"/>
  </cols>
  <sheetData>
    <row r="1" ht="18" customHeight="1" s="236">
      <c r="A1" s="2" t="inlineStr">
        <is>
          <t>給与計算対象企業</t>
        </is>
      </c>
      <c r="B1" s="7" t="inlineStr">
        <is>
          <t>給与計算_作業時間.xlsx</t>
        </is>
      </c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1" t="n"/>
      <c r="O1" s="12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33.75" customHeight="1" s="236">
      <c r="A2" s="1" t="inlineStr">
        <is>
          <t>An-field様　給与計算業務 完全移管　週間進行管理（2026/9/9 ～ 12/31）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22">
        <f>E25</f>
        <v/>
      </c>
      <c r="O2" s="23" t="inlineStr">
        <is>
          <t>引継ぎ完了件数</t>
        </is>
      </c>
    </row>
    <row r="3" ht="19.5" customHeight="1" s="236">
      <c r="A3" s="237" t="inlineStr">
        <is>
          <t>9月＝全社情報整理・優先順位決定・先行企業引継ぎ・テスト計算・採用準備　／　10月＝先行企業 実運用・対象企業拡大・運用精度確認（★ママワークス採用開始）　／　11月＝移管ペース本格化・ワーカー戦力化・年末調整準備　／　12月＝年末調整・賞与対応・完全移管の見極め</t>
        </is>
      </c>
    </row>
    <row r="4" ht="18" customHeight="1" s="236">
      <c r="A4" s="238" t="inlineStr">
        <is>
          <t>※本シートの件数・工数・人数はすべて【暫定計画値】です。会社別工数・実績確認後に更新してください（確定値ではありません）。</t>
        </is>
      </c>
      <c r="B4" s="239" t="n"/>
      <c r="C4" s="239" t="n"/>
      <c r="D4" s="239" t="n"/>
      <c r="E4" s="239" t="n"/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40" t="n"/>
    </row>
    <row r="5" ht="18" customHeight="1" s="236">
      <c r="A5" s="241" t="inlineStr">
        <is>
          <t>【重要】10月＝完全移管ではありません。10月は「先行企業 実運用・対象企業拡大」フェーズです。　ママワークスでの追加ワーカー採用は2026年10月開始。11〜12月は年末調整・賞与対応と並行して移管を進めます。</t>
        </is>
      </c>
    </row>
    <row r="6" ht="18" customHeight="1" s="236">
      <c r="A6" s="225" t="inlineStr">
        <is>
          <t>計画（期間・フェーズ・対応内容）</t>
        </is>
      </c>
      <c r="B6" s="242" t="n"/>
      <c r="C6" s="243" t="n"/>
      <c r="D6" s="244" t="inlineStr">
        <is>
          <t>暫定計画値 ／ 実績入力 ／ 自動計算</t>
        </is>
      </c>
      <c r="E6" s="242" t="n"/>
      <c r="F6" s="242" t="n"/>
      <c r="G6" s="242" t="n"/>
      <c r="H6" s="242" t="n"/>
      <c r="I6" s="242" t="n"/>
      <c r="J6" s="242" t="n"/>
      <c r="K6" s="243" t="n"/>
      <c r="L6" s="245" t="inlineStr">
        <is>
          <t>完了条件・運用管理（手入力）</t>
        </is>
      </c>
      <c r="M6" s="242" t="n"/>
      <c r="N6" s="242" t="n"/>
      <c r="O6" s="243" t="n"/>
    </row>
    <row r="7" ht="39.75" customHeight="1" s="236">
      <c r="A7" s="50" t="inlineStr">
        <is>
          <t>期間</t>
        </is>
      </c>
      <c r="B7" s="50" t="inlineStr">
        <is>
          <t>フェーズ</t>
        </is>
      </c>
      <c r="C7" s="50" t="inlineStr">
        <is>
          <t>主な対応内容</t>
        </is>
      </c>
      <c r="D7" s="50" t="inlineStr">
        <is>
          <t>引継ぎ対象企業数</t>
        </is>
      </c>
      <c r="E7" s="50" t="inlineStr">
        <is>
          <t>引継ぎ完了企業数</t>
        </is>
      </c>
      <c r="F7" s="50" t="inlineStr">
        <is>
          <t>実運用完了企業数</t>
        </is>
      </c>
      <c r="G7" s="50" t="inlineStr">
        <is>
          <t>計画工数</t>
        </is>
      </c>
      <c r="H7" s="50" t="inlineStr">
        <is>
          <t>実績工数</t>
        </is>
      </c>
      <c r="I7" s="50" t="inlineStr">
        <is>
          <t>必要人数</t>
        </is>
      </c>
      <c r="J7" s="50" t="inlineStr">
        <is>
          <t>実働人数</t>
        </is>
      </c>
      <c r="K7" s="50" t="inlineStr">
        <is>
          <t>1社あたり平均工数</t>
        </is>
      </c>
      <c r="L7" s="50" t="inlineStr">
        <is>
          <t>完了条件</t>
        </is>
      </c>
      <c r="M7" s="50" t="inlineStr">
        <is>
          <t>ステータス</t>
        </is>
      </c>
      <c r="N7" s="50" t="inlineStr">
        <is>
          <t>課題</t>
        </is>
      </c>
      <c r="O7" s="50" t="inlineStr">
        <is>
          <t>次週アクション</t>
        </is>
      </c>
    </row>
    <row r="8" ht="132" customHeight="1" s="236">
      <c r="A8" s="87" t="inlineStr">
        <is>
          <t>2026/9/9（水）～9/13（日）</t>
        </is>
      </c>
      <c r="B8" s="88" t="inlineStr">
        <is>
          <t>情報整理・移管設計</t>
        </is>
      </c>
      <c r="C8" s="56" t="inlineStr">
        <is>
          <t>・全社情報の整理
・案件ごとの難易度、工数の把握
・先行移管企業の選定
・追加人員の採用開始</t>
        </is>
      </c>
      <c r="D8" s="103" t="n">
        <v>0</v>
      </c>
      <c r="E8" s="90" t="n">
        <v>0</v>
      </c>
      <c r="F8" s="61">
        <f>SUMPRODUCT(('案件進捗管理'!$V$6:$V$115&lt;&gt;"")*('案件進捗管理'!$V$6:$V$115&lt;=DATE(2026,9,13)))</f>
        <v/>
      </c>
      <c r="G8" s="62" t="n">
        <v>5</v>
      </c>
      <c r="H8" s="63" t="n"/>
      <c r="I8" s="67">
        <f>IF(OR(NOT(ISNUMBER(G8)),'キャパシティ・必要人数'!$D$29=0),"",ROUNDUP(G8/'キャパシティ・必要人数'!$D$29,0))</f>
        <v/>
      </c>
      <c r="J8" s="68" t="n"/>
      <c r="K8" s="70">
        <f>IF(OR(E8="",N(E8)=0,H8=""),"",H8/E8)</f>
        <v/>
      </c>
      <c r="L8" s="56" t="inlineStr">
        <is>
          <t>・対象企業の全体像が整理されている
・先行移管する企業が決まっている
・会社別の工数確認を開始できている</t>
        </is>
      </c>
      <c r="M8" s="71" t="inlineStr">
        <is>
          <t>未着手</t>
        </is>
      </c>
      <c r="N8" s="72" t="n"/>
      <c r="O8" s="72" t="n"/>
    </row>
    <row r="9" ht="132" customHeight="1" s="236">
      <c r="A9" s="73" t="inlineStr">
        <is>
          <t>2026/9/14（月）～9/20（日）</t>
        </is>
      </c>
      <c r="B9" s="102" t="inlineStr">
        <is>
          <t>先行企業引継ぎ・工数計測</t>
        </is>
      </c>
      <c r="C9" s="75" t="inlineStr">
        <is>
          <t>・先行企業の業務引き継ぎ
・実務レクチャー、工数計測
・追加ワーカーの選考</t>
        </is>
      </c>
      <c r="D9" s="96" t="n">
        <v>0</v>
      </c>
      <c r="E9" s="90" t="n">
        <v>0</v>
      </c>
      <c r="F9" s="61">
        <f>SUMPRODUCT(('案件進捗管理'!$V$6:$V$115&lt;&gt;"")*('案件進捗管理'!$V$6:$V$115&lt;=DATE(2026,9,20)))</f>
        <v/>
      </c>
      <c r="G9" s="82" t="n">
        <v>5</v>
      </c>
      <c r="H9" s="63" t="n"/>
      <c r="I9" s="67">
        <f>IF(OR(NOT(ISNUMBER(G9)),'キャパシティ・必要人数'!$D$29=0),"",ROUNDUP(G9/'キャパシティ・必要人数'!$D$29,0))</f>
        <v/>
      </c>
      <c r="J9" s="68" t="n"/>
      <c r="K9" s="70">
        <f>IF(OR(E9="",N(E9)=0,H9=""),"",H9/E9)</f>
        <v/>
      </c>
      <c r="L9" s="75" t="inlineStr">
        <is>
          <t>・先行企業の業務内容を担当者が把握できている
・実際の業務を通じて工数計測を開始できている
・追加人員の選考が進んでいる</t>
        </is>
      </c>
      <c r="M9" s="71" t="inlineStr">
        <is>
          <t>未着手</t>
        </is>
      </c>
      <c r="N9" s="72" t="n"/>
      <c r="O9" s="72" t="n"/>
    </row>
    <row r="10" ht="132" customHeight="1" s="236">
      <c r="A10" s="87" t="inlineStr">
        <is>
          <t>2026/9/24（木）～9/27（日）</t>
        </is>
      </c>
      <c r="B10" s="88" t="inlineStr">
        <is>
          <t>テスト計算・移管モデル確立</t>
        </is>
      </c>
      <c r="C10" s="56" t="inlineStr">
        <is>
          <t>・先行企業のテスト計算
・運用課題、必要工数の確認
・移管体制、必要人数の整理</t>
        </is>
      </c>
      <c r="D10" s="103" t="n">
        <v>6</v>
      </c>
      <c r="E10" s="90" t="n"/>
      <c r="F10" s="61">
        <f>SUMPRODUCT(('案件進捗管理'!$V$6:$V$115&lt;&gt;"")*('案件進捗管理'!$V$6:$V$115&lt;=DATE(2026,9,27)))</f>
        <v/>
      </c>
      <c r="G10" s="62" t="n">
        <v>15</v>
      </c>
      <c r="H10" s="63" t="n"/>
      <c r="I10" s="67">
        <f>IF(OR(NOT(ISNUMBER(G10)),'キャパシティ・必要人数'!$D$29=0),"",ROUNDUP(G10/'キャパシティ・必要人数'!$D$29,0))</f>
        <v/>
      </c>
      <c r="J10" s="68" t="n"/>
      <c r="K10" s="70">
        <f>IF(OR(E10="",N(E10)=0,H10=""),"",H10/E10)</f>
        <v/>
      </c>
      <c r="L10" s="56" t="inlineStr">
        <is>
          <t>・先行企業のテスト計算が進んでいる
・案件ごとの難易度や必要工数が見えている
・秘書チーム／ワーカーの役割分担が整理されている</t>
        </is>
      </c>
      <c r="M10" s="71" t="inlineStr">
        <is>
          <t>未着手</t>
        </is>
      </c>
      <c r="N10" s="72" t="n"/>
      <c r="O10" s="72" t="n"/>
    </row>
    <row r="11" ht="132" customHeight="1" s="236">
      <c r="A11" s="73" t="inlineStr">
        <is>
          <t>2026/9/28（月）～10/4（日）</t>
        </is>
      </c>
      <c r="B11" s="102" t="inlineStr">
        <is>
          <t>先行企業 実運用開始</t>
        </is>
      </c>
      <c r="C11" s="75" t="inlineStr">
        <is>
          <t>・テスト済み企業の実運用開始
・実運用を通じた課題確認
・追加ワーカーの教育</t>
        </is>
      </c>
      <c r="D11" s="96" t="n">
        <v>0</v>
      </c>
      <c r="E11" s="90" t="n"/>
      <c r="F11" s="61">
        <f>SUMPRODUCT(('案件進捗管理'!$V$6:$V$115&lt;&gt;"")*('案件進捗管理'!$V$6:$V$115&lt;=DATE(2026,10,4)))</f>
        <v/>
      </c>
      <c r="G11" s="82" t="n">
        <v>15</v>
      </c>
      <c r="H11" s="63" t="n"/>
      <c r="I11" s="67">
        <f>IF(OR(NOT(ISNUMBER(G11)),'キャパシティ・必要人数'!$D$29=0),"",ROUNDUP(G11/'キャパシティ・必要人数'!$D$29,0))</f>
        <v/>
      </c>
      <c r="J11" s="68" t="n"/>
      <c r="K11" s="70">
        <f>IF(OR(E11="",N(E11)=0,H11=""),"",H11/E11)</f>
        <v/>
      </c>
      <c r="L11" s="75" t="inlineStr">
        <is>
          <t>・テスト済み企業で実運用を開始できている
・資料回収〜納品までの一連の流れを確認できている
・実運用上の課題が把握できている</t>
        </is>
      </c>
      <c r="M11" s="71" t="inlineStr">
        <is>
          <t>未着手</t>
        </is>
      </c>
      <c r="N11" s="72" t="n"/>
      <c r="O11" s="72" t="n"/>
    </row>
    <row r="12" ht="132" customHeight="1" s="236">
      <c r="A12" s="87" t="inlineStr">
        <is>
          <t>2026/10/5（月）～10/11（日）</t>
        </is>
      </c>
      <c r="B12" s="102" t="inlineStr">
        <is>
          <t>企業引継ぎ・工数計測</t>
        </is>
      </c>
      <c r="C12" s="56" t="inlineStr">
        <is>
          <t>・先行企業の運用安定化
・次の対象企業の引き継ぎ開始
・運用方法の改善</t>
        </is>
      </c>
      <c r="D12" s="103" t="inlineStr">
        <is>
          <t>未定</t>
        </is>
      </c>
      <c r="E12" s="90" t="n"/>
      <c r="F12" s="61">
        <f>SUMPRODUCT(('案件進捗管理'!$V$6:$V$115&lt;&gt;"")*('案件進捗管理'!$V$6:$V$115&lt;=DATE(2026,10,11)))</f>
        <v/>
      </c>
      <c r="G12" s="62" t="n">
        <v>5</v>
      </c>
      <c r="H12" s="63" t="n"/>
      <c r="I12" s="67">
        <f>IF(OR(NOT(ISNUMBER(G12)),'キャパシティ・必要人数'!$D$29=0),"",ROUNDUP(G12/'キャパシティ・必要人数'!$D$29,0))</f>
        <v/>
      </c>
      <c r="J12" s="68" t="n"/>
      <c r="K12" s="70">
        <f>IF(OR(E12="",N(E12)=0,H12=""),"",H12/E12)</f>
        <v/>
      </c>
      <c r="L12" s="56" t="inlineStr">
        <is>
          <t>・先行企業の運用が安定し始めている
・次の対象企業の引き継ぎを開始できている
・追加ワーカーへの業務移管が進んでいる</t>
        </is>
      </c>
      <c r="M12" s="71" t="inlineStr">
        <is>
          <t>未着手</t>
        </is>
      </c>
      <c r="N12" s="72" t="n"/>
      <c r="O12" s="72" t="n"/>
    </row>
    <row r="13" ht="132" customHeight="1" s="236">
      <c r="A13" s="73" t="inlineStr">
        <is>
          <t>2026/10/12（月）～10/18（日）</t>
        </is>
      </c>
      <c r="B13" s="88" t="inlineStr">
        <is>
          <t>テスト計算・移管モデル確立</t>
        </is>
      </c>
      <c r="C13" s="75" t="inlineStr">
        <is>
          <t>・実運用企業の拡大
・追加企業のテスト、引き継ぎ
・実績工数の確認</t>
        </is>
      </c>
      <c r="D13" s="103" t="inlineStr">
        <is>
          <t>未定</t>
        </is>
      </c>
      <c r="E13" s="90" t="n"/>
      <c r="F13" s="61">
        <f>SUMPRODUCT(('案件進捗管理'!$V$6:$V$115&lt;&gt;"")*('案件進捗管理'!$V$6:$V$115&lt;=DATE(2026,10,18)))</f>
        <v/>
      </c>
      <c r="G13" s="62" t="n">
        <v>5</v>
      </c>
      <c r="H13" s="63" t="n"/>
      <c r="I13" s="67">
        <f>IF(OR(NOT(ISNUMBER(G13)),'キャパシティ・必要人数'!$D$29=0),"",ROUNDUP(G13/'キャパシティ・必要人数'!$D$29,0))</f>
        <v/>
      </c>
      <c r="J13" s="68" t="n"/>
      <c r="K13" s="70">
        <f>IF(OR(E13="",N(E13)=0,H13=""),"",H13/E13)</f>
        <v/>
      </c>
      <c r="L13" s="75" t="inlineStr">
        <is>
          <t>・実運用する企業数を拡大できている
・担当者単独で対応できる企業が増えている
・実績をもとに会社別工数を更新できている</t>
        </is>
      </c>
      <c r="M13" s="71" t="inlineStr">
        <is>
          <t>未着手</t>
        </is>
      </c>
      <c r="N13" s="72" t="n"/>
      <c r="O13" s="72" t="n"/>
    </row>
    <row r="14" ht="132" customHeight="1" s="236">
      <c r="A14" s="87" t="inlineStr">
        <is>
          <t>2026/10/19（月）～10/25（日）</t>
        </is>
      </c>
      <c r="B14" s="102" t="inlineStr">
        <is>
          <t>実運用対象拡大</t>
        </is>
      </c>
      <c r="C14" s="56" t="inlineStr">
        <is>
          <t>・対象企業のさらなる拡大
・人員配置、運用体制の見直し
・今後の移管ペース確認</t>
        </is>
      </c>
      <c r="D14" s="103" t="inlineStr">
        <is>
          <t>未定</t>
        </is>
      </c>
      <c r="E14" s="90" t="n"/>
      <c r="F14" s="61">
        <f>SUMPRODUCT(('案件進捗管理'!$V$6:$V$115&lt;&gt;"")*('案件進捗管理'!$V$6:$V$115&lt;=DATE(2026,10,25)))</f>
        <v/>
      </c>
      <c r="G14" s="62" t="inlineStr">
        <is>
          <t>未定</t>
        </is>
      </c>
      <c r="H14" s="63" t="n"/>
      <c r="I14" s="67">
        <f>IF(OR(NOT(ISNUMBER(G14)),'キャパシティ・必要人数'!$D$29=0),"",ROUNDUP(G14/'キャパシティ・必要人数'!$D$29,0))</f>
        <v/>
      </c>
      <c r="J14" s="68" t="n"/>
      <c r="K14" s="70">
        <f>IF(OR(E14="",N(E14)=0,H14=""),"",H14/E14)</f>
        <v/>
      </c>
      <c r="L14" s="56" t="inlineStr">
        <is>
          <t>・対象企業の移管を継続して拡大できている
・現在の人員で対応可能な範囲が見えている
・追加人員が必要か判断できる状態になっている</t>
        </is>
      </c>
      <c r="M14" s="71" t="inlineStr">
        <is>
          <t>未着手</t>
        </is>
      </c>
      <c r="N14" s="72" t="n"/>
      <c r="O14" s="72" t="n"/>
    </row>
    <row r="15" ht="132" customHeight="1" s="236">
      <c r="A15" s="73" t="inlineStr">
        <is>
          <t>2026/10/26（月）～10/31（土）</t>
        </is>
      </c>
      <c r="B15" s="102" t="inlineStr">
        <is>
          <t>実運用対象拡大</t>
        </is>
      </c>
      <c r="C15" s="75" t="inlineStr">
        <is>
          <t>・10月の実運用実績を整理
・残課題、必要人員を確認
・今後の移管方針を決定</t>
        </is>
      </c>
      <c r="D15" s="103" t="inlineStr">
        <is>
          <t>未定</t>
        </is>
      </c>
      <c r="E15" s="90" t="n"/>
      <c r="F15" s="61">
        <f>SUMPRODUCT(('案件進捗管理'!$V$6:$V$115&lt;&gt;"")*('案件進捗管理'!$V$6:$V$115&lt;=DATE(2026,10,31)))</f>
        <v/>
      </c>
      <c r="G15" s="62" t="inlineStr">
        <is>
          <t>未定</t>
        </is>
      </c>
      <c r="H15" s="63" t="n"/>
      <c r="I15" s="67">
        <f>IF(OR(NOT(ISNUMBER(G15)),'キャパシティ・必要人数'!$D$29=0),"",ROUNDUP(G15/'キャパシティ・必要人数'!$D$29,0))</f>
        <v/>
      </c>
      <c r="J15" s="68" t="n"/>
      <c r="K15" s="70">
        <f>IF(OR(E15="",N(E15)=0,H15=""),"",H15/E15)</f>
        <v/>
      </c>
      <c r="L15" s="75" t="inlineStr">
        <is>
          <t>・10月の移管・実運用実績が整理されている
・残っている企業、課題、必要工数が把握できている
・今後の移管ペースと必要体制を判断できている</t>
        </is>
      </c>
      <c r="M15" s="71" t="inlineStr">
        <is>
          <t>未着手</t>
        </is>
      </c>
      <c r="N15" s="72" t="n"/>
      <c r="O15" s="72" t="n"/>
    </row>
    <row r="16" ht="132" customHeight="1" s="236">
      <c r="A16" s="73" t="inlineStr">
        <is>
          <t>2026/11/1（日）～11/8（日）</t>
        </is>
      </c>
      <c r="B16" s="102" t="inlineStr">
        <is>
          <t>第3グループ移管・新規採用者受入</t>
        </is>
      </c>
      <c r="C16" s="75" t="inlineStr">
        <is>
          <t>・第3グループの引継ぎ開始
・ママワークス採用者の受入、初期教育
・定型案件のワーカー移管継続
・10月の残課題解消</t>
        </is>
      </c>
      <c r="D16" s="103" t="inlineStr">
        <is>
          <t>未定</t>
        </is>
      </c>
      <c r="E16" s="90" t="n"/>
      <c r="F16" s="61">
        <f>SUMPRODUCT(('案件進捗管理'!$V$6:$V$115&lt;&gt;"")*('案件進捗管理'!$V$6:$V$115&lt;=DATE(2026,11,8)))</f>
        <v/>
      </c>
      <c r="G16" s="62" t="inlineStr">
        <is>
          <t>未定</t>
        </is>
      </c>
      <c r="H16" s="63" t="n"/>
      <c r="I16" s="67">
        <f>IF(OR(NOT(ISNUMBER(G16)),'キャパシティ・必要人数'!$D$29=0),"",ROUNDUP(G16/'キャパシティ・必要人数'!$D$29,0))</f>
        <v/>
      </c>
      <c r="J16" s="68" t="n"/>
      <c r="K16" s="70">
        <f>IF(OR(E16="",N(E16)=0,H16=""),"",H16/E16)</f>
        <v/>
      </c>
      <c r="L16" s="75" t="inlineStr">
        <is>
          <t>・ママワークス採用者が業務を開始できている
・第3グループの引継ぎが開始されている
・10月に出た運用課題が解消されている
【暫定目安】実運用累計 35社程度</t>
        </is>
      </c>
      <c r="M16" s="71" t="inlineStr">
        <is>
          <t>未着手</t>
        </is>
      </c>
      <c r="N16" s="72" t="n"/>
      <c r="O16" s="72" t="n"/>
    </row>
    <row r="17" ht="132" customHeight="1" s="236">
      <c r="A17" s="73" t="inlineStr">
        <is>
          <t>2026/11/9（月）～11/15（日）</t>
        </is>
      </c>
      <c r="B17" s="102" t="inlineStr">
        <is>
          <t>実運用拡大・年末調整準備</t>
        </is>
      </c>
      <c r="C17" s="75" t="inlineStr">
        <is>
          <t>・実運用企業の追加
・年末調整の対象企業、スケジュール確認
・年末調整に必要な資料回収フローの確認
・ワーカーの担当範囲拡大</t>
        </is>
      </c>
      <c r="D17" s="103" t="inlineStr">
        <is>
          <t>未定</t>
        </is>
      </c>
      <c r="E17" s="90" t="n"/>
      <c r="F17" s="61">
        <f>SUMPRODUCT(('案件進捗管理'!$V$6:$V$115&lt;&gt;"")*('案件進捗管理'!$V$6:$V$115&lt;=DATE(2026,11,15)))</f>
        <v/>
      </c>
      <c r="G17" s="62" t="inlineStr">
        <is>
          <t>未定</t>
        </is>
      </c>
      <c r="H17" s="63" t="n"/>
      <c r="I17" s="67">
        <f>IF(OR(NOT(ISNUMBER(G17)),'キャパシティ・必要人数'!$D$29=0),"",ROUNDUP(G17/'キャパシティ・必要人数'!$D$29,0))</f>
        <v/>
      </c>
      <c r="J17" s="68" t="n"/>
      <c r="K17" s="70">
        <f>IF(OR(E17="",N(E17)=0,H17=""),"",H17/E17)</f>
        <v/>
      </c>
      <c r="L17" s="75" t="inlineStr">
        <is>
          <t>・年末調整の対象企業と必要資料が全件整理されている
・資料回収フローが確認できている
【暫定目安】実運用累計 40社程度</t>
        </is>
      </c>
      <c r="M17" s="71" t="inlineStr">
        <is>
          <t>未着手</t>
        </is>
      </c>
      <c r="N17" s="72" t="n"/>
      <c r="O17" s="72" t="n"/>
    </row>
    <row r="18" ht="132" customHeight="1" s="236">
      <c r="A18" s="73" t="inlineStr">
        <is>
          <t>2026/11/16（月）～11/22（日）</t>
        </is>
      </c>
      <c r="B18" s="102" t="inlineStr">
        <is>
          <t>実運用拡大・ワーカー自走化</t>
        </is>
      </c>
      <c r="C18" s="75" t="inlineStr">
        <is>
          <t>・定型企業のワーカー単独運用開始
・秘書チームは高難易度案件、管理業務へ集中
・属人化案件の洗い出し
・バックアップ担当の拡充</t>
        </is>
      </c>
      <c r="D18" s="103" t="inlineStr">
        <is>
          <t>未定</t>
        </is>
      </c>
      <c r="E18" s="90" t="n"/>
      <c r="F18" s="61">
        <f>SUMPRODUCT(('案件進捗管理'!$V$6:$V$115&lt;&gt;"")*('案件進捗管理'!$V$6:$V$115&lt;=DATE(2026,11,22)))</f>
        <v/>
      </c>
      <c r="G18" s="62" t="inlineStr">
        <is>
          <t>未定</t>
        </is>
      </c>
      <c r="H18" s="63" t="n"/>
      <c r="I18" s="67">
        <f>IF(OR(NOT(ISNUMBER(G18)),'キャパシティ・必要人数'!$D$29=0),"",ROUNDUP(G18/'キャパシティ・必要人数'!$D$29,0))</f>
        <v/>
      </c>
      <c r="J18" s="68" t="n"/>
      <c r="K18" s="70">
        <f>IF(OR(E18="",N(E18)=0,H18=""),"",H18/E18)</f>
        <v/>
      </c>
      <c r="L18" s="75" t="inlineStr">
        <is>
          <t>・ワーカー単独で運用できる企業が増えている
・属人化案件が特定されている
・全案件にバックアップ担当が設定されている
【暫定目安】実運用累計 45社程度</t>
        </is>
      </c>
      <c r="M18" s="71" t="inlineStr">
        <is>
          <t>未着手</t>
        </is>
      </c>
      <c r="N18" s="72" t="n"/>
      <c r="O18" s="72" t="n"/>
    </row>
    <row r="19" ht="132" customHeight="1" s="236">
      <c r="A19" s="73" t="inlineStr">
        <is>
          <t>2026/11/23（月）～11/29（日）</t>
        </is>
      </c>
      <c r="B19" s="102" t="inlineStr">
        <is>
          <t>11月総括・処理能力再計算</t>
        </is>
      </c>
      <c r="C19" s="75" t="inlineStr">
        <is>
          <t>・11月実績の集計
・会社別、難易度別の平均工数を更新
・処理能力の再計算
・追加採用要否の再判定
・12月（年末調整、賞与）の体制確定</t>
        </is>
      </c>
      <c r="D19" s="103" t="inlineStr">
        <is>
          <t>未定</t>
        </is>
      </c>
      <c r="E19" s="90" t="n"/>
      <c r="F19" s="61">
        <f>SUMPRODUCT(('案件進捗管理'!$V$6:$V$115&lt;&gt;"")*('案件進捗管理'!$V$6:$V$115&lt;=DATE(2026,11,29)))</f>
        <v/>
      </c>
      <c r="G19" s="62" t="inlineStr">
        <is>
          <t>未定</t>
        </is>
      </c>
      <c r="H19" s="63" t="n"/>
      <c r="I19" s="67">
        <f>IF(OR(NOT(ISNUMBER(G19)),'キャパシティ・必要人数'!$D$29=0),"",ROUNDUP(G19/'キャパシティ・必要人数'!$D$29,0))</f>
        <v/>
      </c>
      <c r="J19" s="68" t="n"/>
      <c r="K19" s="70">
        <f>IF(OR(E19="",N(E19)=0,H19=""),"",H19/E19)</f>
        <v/>
      </c>
      <c r="L19" s="75" t="inlineStr">
        <is>
          <t>・11月時点の処理能力と必要人数が数値で確定している
・12月の年末調整、賞与対応の体制が決まっている
【暫定目安】実運用累計 50社程度</t>
        </is>
      </c>
      <c r="M19" s="71" t="inlineStr">
        <is>
          <t>未着手</t>
        </is>
      </c>
      <c r="N19" s="72" t="n"/>
      <c r="O19" s="72" t="n"/>
    </row>
    <row r="20" ht="132" customHeight="1" s="236">
      <c r="A20" s="73" t="inlineStr">
        <is>
          <t>2026/11/30（月）～12/6（日）</t>
        </is>
      </c>
      <c r="B20" s="102" t="inlineStr">
        <is>
          <t>年末調整・賞与計算 対応開始</t>
        </is>
      </c>
      <c r="C20" s="75" t="inlineStr">
        <is>
          <t>・年末調整の申告書回収状況の確認
・賞与計算対象企業の確認
・イレギュラー対応の切り分け
・秘書チームによる重点チェック体制の構築</t>
        </is>
      </c>
      <c r="D20" s="103" t="inlineStr">
        <is>
          <t>未定</t>
        </is>
      </c>
      <c r="E20" s="90" t="n"/>
      <c r="F20" s="61">
        <f>SUMPRODUCT(('案件進捗管理'!$V$6:$V$115&lt;&gt;"")*('案件進捗管理'!$V$6:$V$115&lt;=DATE(2026,12,6)))</f>
        <v/>
      </c>
      <c r="G20" s="62" t="inlineStr">
        <is>
          <t>未定</t>
        </is>
      </c>
      <c r="H20" s="63" t="n"/>
      <c r="I20" s="67">
        <f>IF(OR(NOT(ISNUMBER(G20)),'キャパシティ・必要人数'!$D$29=0),"",ROUNDUP(G20/'キャパシティ・必要人数'!$D$29,0))</f>
        <v/>
      </c>
      <c r="J20" s="68" t="n"/>
      <c r="K20" s="70">
        <f>IF(OR(E20="",N(E20)=0,H20=""),"",H20/E20)</f>
        <v/>
      </c>
      <c r="L20" s="75" t="inlineStr">
        <is>
          <t>・年末調整、賞与の対象企業と締切が全件把握できている
・重点チェック対象が決まっている
【暫定目安】実運用累計 55社程度</t>
        </is>
      </c>
      <c r="M20" s="71" t="inlineStr">
        <is>
          <t>未着手</t>
        </is>
      </c>
      <c r="N20" s="72" t="n"/>
      <c r="O20" s="72" t="n"/>
    </row>
    <row r="21" ht="132" customHeight="1" s="236">
      <c r="A21" s="73" t="inlineStr">
        <is>
          <t>2026/12/7（月）～12/13（日）</t>
        </is>
      </c>
      <c r="B21" s="102" t="inlineStr">
        <is>
          <t>年末調整 実施・実運用拡大</t>
        </is>
      </c>
      <c r="C21" s="75" t="inlineStr">
        <is>
          <t>・年末調整のデータ入力、計算
・賞与計算の実施
・通常給与計算との並行運用
・実運用企業の追加</t>
        </is>
      </c>
      <c r="D21" s="103" t="inlineStr">
        <is>
          <t>未定</t>
        </is>
      </c>
      <c r="E21" s="90" t="n"/>
      <c r="F21" s="61">
        <f>SUMPRODUCT(('案件進捗管理'!$V$6:$V$115&lt;&gt;"")*('案件進捗管理'!$V$6:$V$115&lt;=DATE(2026,12,13)))</f>
        <v/>
      </c>
      <c r="G21" s="62" t="inlineStr">
        <is>
          <t>未定</t>
        </is>
      </c>
      <c r="H21" s="63" t="n"/>
      <c r="I21" s="67">
        <f>IF(OR(NOT(ISNUMBER(G21)),'キャパシティ・必要人数'!$D$29=0),"",ROUNDUP(G21/'キャパシティ・必要人数'!$D$29,0))</f>
        <v/>
      </c>
      <c r="J21" s="68" t="n"/>
      <c r="K21" s="70">
        <f>IF(OR(E21="",N(E21)=0,H21=""),"",H21/E21)</f>
        <v/>
      </c>
      <c r="L21" s="75" t="inlineStr">
        <is>
          <t>・年末調整、賞与計算が計画どおり進んでいる
・通常給与計算に遅延が出ていない
【暫定目安】実運用累計 60社程度</t>
        </is>
      </c>
      <c r="M21" s="71" t="inlineStr">
        <is>
          <t>未着手</t>
        </is>
      </c>
      <c r="N21" s="72" t="n"/>
      <c r="O21" s="72" t="n"/>
    </row>
    <row r="22" ht="132" customHeight="1" s="236">
      <c r="A22" s="73" t="inlineStr">
        <is>
          <t>2026/12/14（月）～12/20（日）</t>
        </is>
      </c>
      <c r="B22" s="102" t="inlineStr">
        <is>
          <t>賞与計算・完全移管判定開始</t>
        </is>
      </c>
      <c r="C22" s="75" t="inlineStr">
        <is>
          <t>・賞与支給日対応
・年末調整の還付、徴収額の確認
・完全移管の判定基準に沿った企業評価
・自走可能企業の確定</t>
        </is>
      </c>
      <c r="D22" s="103" t="inlineStr">
        <is>
          <t>未定</t>
        </is>
      </c>
      <c r="E22" s="90" t="n"/>
      <c r="F22" s="61">
        <f>SUMPRODUCT(('案件進捗管理'!$V$6:$V$115&lt;&gt;"")*('案件進捗管理'!$V$6:$V$115&lt;=DATE(2026,12,20)))</f>
        <v/>
      </c>
      <c r="G22" s="62" t="inlineStr">
        <is>
          <t>未定</t>
        </is>
      </c>
      <c r="H22" s="63" t="n"/>
      <c r="I22" s="67">
        <f>IF(OR(NOT(ISNUMBER(G22)),'キャパシティ・必要人数'!$D$29=0),"",ROUNDUP(G22/'キャパシティ・必要人数'!$D$29,0))</f>
        <v/>
      </c>
      <c r="J22" s="68" t="n"/>
      <c r="K22" s="70">
        <f>IF(OR(E22="",N(E22)=0,H22=""),"",H22/E22)</f>
        <v/>
      </c>
      <c r="L22" s="75" t="inlineStr">
        <is>
          <t>・完全移管の定義を満たした企業が判定できている
・自走可能企業が確定している
【暫定目安】実運用累計 65社程度</t>
        </is>
      </c>
      <c r="M22" s="71" t="inlineStr">
        <is>
          <t>未着手</t>
        </is>
      </c>
      <c r="N22" s="72" t="n"/>
      <c r="O22" s="72" t="n"/>
    </row>
    <row r="23" ht="132" customHeight="1" s="236">
      <c r="A23" s="73" t="inlineStr">
        <is>
          <t>2026/12/21（月）～12/27（日）</t>
        </is>
      </c>
      <c r="B23" s="102" t="inlineStr">
        <is>
          <t>年末対応ピーク・完全移管確定</t>
        </is>
      </c>
      <c r="C23" s="75" t="inlineStr">
        <is>
          <t>・年内最終の給与計算、納品
・年末調整の最終確認
・残課題の洗い出し
・年始スケジュールの確認</t>
        </is>
      </c>
      <c r="D23" s="103" t="inlineStr">
        <is>
          <t>未定</t>
        </is>
      </c>
      <c r="E23" s="90" t="n"/>
      <c r="F23" s="61">
        <f>SUMPRODUCT(('案件進捗管理'!$V$6:$V$115&lt;&gt;"")*('案件進捗管理'!$V$6:$V$115&lt;=DATE(2026,12,27)))</f>
        <v/>
      </c>
      <c r="G23" s="62" t="inlineStr">
        <is>
          <t>未定</t>
        </is>
      </c>
      <c r="H23" s="63" t="n"/>
      <c r="I23" s="67">
        <f>IF(OR(NOT(ISNUMBER(G23)),'キャパシティ・必要人数'!$D$29=0),"",ROUNDUP(G23/'キャパシティ・必要人数'!$D$29,0))</f>
        <v/>
      </c>
      <c r="J23" s="68" t="n"/>
      <c r="K23" s="70">
        <f>IF(OR(E23="",N(E23)=0,H23=""),"",H23/E23)</f>
        <v/>
      </c>
      <c r="L23" s="75" t="inlineStr">
        <is>
          <t>・年内の給与計算、納品が全件完了している
・年末調整の最終確認が終わっている
【暫定目安】実運用累計 70社程度</t>
        </is>
      </c>
      <c r="M23" s="71" t="inlineStr">
        <is>
          <t>未着手</t>
        </is>
      </c>
      <c r="N23" s="72" t="n"/>
      <c r="O23" s="72" t="n"/>
    </row>
    <row r="24" ht="132" customHeight="1" s="236">
      <c r="A24" s="73" t="inlineStr">
        <is>
          <t>2026/12/28（月）～12/31（木）</t>
        </is>
      </c>
      <c r="B24" s="102" t="inlineStr">
        <is>
          <t>12月総括・次フェーズ（2027年1月以降）方針判断</t>
        </is>
      </c>
      <c r="C24" s="75" t="inlineStr">
        <is>
          <t>・12月実績の集計
・完全移管企業数の確定
・残企業数、残工数の算出
・2027年1月以降の移管計画と必要人員の確定</t>
        </is>
      </c>
      <c r="D24" s="103" t="inlineStr">
        <is>
          <t>未定</t>
        </is>
      </c>
      <c r="E24" s="90" t="n"/>
      <c r="F24" s="61">
        <f>SUMPRODUCT(('案件進捗管理'!$V$6:$V$115&lt;&gt;"")*('案件進捗管理'!$V$6:$V$115&lt;=DATE(2026,12,31)))</f>
        <v/>
      </c>
      <c r="G24" s="62" t="inlineStr">
        <is>
          <t>未定</t>
        </is>
      </c>
      <c r="H24" s="63" t="n"/>
      <c r="I24" s="67">
        <f>IF(OR(NOT(ISNUMBER(G24)),'キャパシティ・必要人数'!$D$29=0),"",ROUNDUP(G24/'キャパシティ・必要人数'!$D$29,0))</f>
        <v/>
      </c>
      <c r="J24" s="68" t="n"/>
      <c r="K24" s="70">
        <f>IF(OR(E24="",N(E24)=0,H24=""),"",H24/E24)</f>
        <v/>
      </c>
      <c r="L24" s="75" t="inlineStr">
        <is>
          <t>【12月末ゴール】以下がすべて確定している
・完全移管企業数／自走可能企業数／実運用済み企業数
・残企業数／残工数／必要追加人数
・1人あたり処理能力と今後の移管ペース
【暫定目安】実運用累計 75社程度</t>
        </is>
      </c>
      <c r="M24" s="71" t="inlineStr">
        <is>
          <t>未着手</t>
        </is>
      </c>
      <c r="N24" s="72" t="n"/>
      <c r="O24" s="72" t="n"/>
    </row>
    <row r="25" ht="15.75" customHeight="1" s="236">
      <c r="A25" s="117" t="inlineStr">
        <is>
          <t>合計 / 最終（暫定計画値）</t>
        </is>
      </c>
      <c r="B25" s="119" t="n"/>
      <c r="C25" s="119" t="n"/>
      <c r="D25" s="119">
        <f>SUM(D8:D24)</f>
        <v/>
      </c>
      <c r="E25" s="119">
        <f>IF(COUNT(E8:E24)=0,"",SUM(E8:E24))</f>
        <v/>
      </c>
      <c r="F25" s="119">
        <f>MAX(F8:F24)</f>
        <v/>
      </c>
      <c r="G25" s="120">
        <f>SUM(G8:G24)</f>
        <v/>
      </c>
      <c r="H25" s="121">
        <f>IF(COUNT(H8:H24)=0,"",SUM(H8:H24))</f>
        <v/>
      </c>
      <c r="I25" s="123">
        <f>MAX(I8:I24)</f>
        <v/>
      </c>
      <c r="J25" s="123">
        <f>IF(COUNT(J8:J24)=0,"",MAX(J8:J24))</f>
        <v/>
      </c>
      <c r="K25" s="121">
        <f>IF(OR(E25="",H25=""),"",H25/E25)</f>
        <v/>
      </c>
      <c r="L25" s="117" t="inlineStr">
        <is>
          <t>※合計は暫定計画値の積み上げです。件数目標のために無理に移管せず、実工数と品質をもとに件数を調整してください。</t>
        </is>
      </c>
      <c r="M25" s="119" t="n"/>
      <c r="N25" s="119" t="n"/>
      <c r="O25" s="119" t="n"/>
    </row>
    <row r="26" ht="15.75" customHeight="1" s="236"/>
    <row r="27" ht="15.75" customHeight="1" s="236">
      <c r="A27" s="246" t="inlineStr">
        <is>
          <t>【完全移管の定義】「給与計算ができる状態」ではありません。資料回収・顧客対応・質問対応・勤怠取得・給与計算・チェック・納品・進捗管理・担当者管理・欠員時の再配置まで、An-field様が日常的に管理しなくても回る状態を指します。</t>
        </is>
      </c>
      <c r="B27" s="242" t="n"/>
      <c r="C27" s="242" t="n"/>
      <c r="D27" s="242" t="n"/>
      <c r="E27" s="242" t="n"/>
      <c r="F27" s="242" t="n"/>
      <c r="G27" s="242" t="n"/>
      <c r="H27" s="242" t="n"/>
      <c r="I27" s="242" t="n"/>
      <c r="J27" s="242" t="n"/>
      <c r="K27" s="242" t="n"/>
      <c r="L27" s="242" t="n"/>
      <c r="M27" s="242" t="n"/>
      <c r="N27" s="242" t="n"/>
      <c r="O27" s="243" t="n"/>
    </row>
    <row r="28" ht="15.75" customHeight="1" s="236">
      <c r="A28" s="247" t="inlineStr">
        <is>
          <t>【進捗は3軸で評価】①件数進捗＝何社が各ステータスまで進んだか　②工数進捗＝全体工数のうち何時間分の業務を移管できたか　③自走進捗＝何社がAn-field様の日常的な確認なしで運用できる状態になったか。「何社移管したか」だけでは判断しないでください。</t>
        </is>
      </c>
      <c r="B28" s="242" t="n"/>
      <c r="C28" s="242" t="n"/>
      <c r="D28" s="242" t="n"/>
      <c r="E28" s="242" t="n"/>
      <c r="F28" s="242" t="n"/>
      <c r="G28" s="242" t="n"/>
      <c r="H28" s="242" t="n"/>
      <c r="I28" s="242" t="n"/>
      <c r="J28" s="242" t="n"/>
      <c r="K28" s="242" t="n"/>
      <c r="L28" s="242" t="n"/>
      <c r="M28" s="242" t="n"/>
      <c r="N28" s="242" t="n"/>
      <c r="O28" s="243" t="n"/>
    </row>
    <row r="29" ht="15.75" customHeight="1" s="236">
      <c r="A29" s="248" t="inlineStr">
        <is>
          <t>【計画の考え方】「毎週○社移管する」という件数ありきの計画にはしません。会社ごとに給与計算工数・やり取り時間・資料回収時間・質問対応時間・使用ツール・締日・支給日・例外処理・特殊ルール・難易度が異なるため、『会社別総工数 × 難易度 ÷ 担当者処理能力』で処理能力を算出し、件数は結果として決まります。</t>
        </is>
      </c>
      <c r="B29" s="242" t="n"/>
      <c r="C29" s="242" t="n"/>
      <c r="D29" s="242" t="n"/>
      <c r="E29" s="242" t="n"/>
      <c r="F29" s="242" t="n"/>
      <c r="G29" s="242" t="n"/>
      <c r="H29" s="242" t="n"/>
      <c r="I29" s="242" t="n"/>
      <c r="J29" s="242" t="n"/>
      <c r="K29" s="242" t="n"/>
      <c r="L29" s="242" t="n"/>
      <c r="M29" s="242" t="n"/>
      <c r="N29" s="242" t="n"/>
      <c r="O29" s="243" t="n"/>
    </row>
    <row r="30" ht="15.75" customHeight="1" s="236">
      <c r="A30" s="249" t="inlineStr">
        <is>
          <t>【暫定値の扱い】引継ぎ対象企業数・計画工数・必要人数は暫定計画値です。実工数が不明なものは「未定」「要確認」のままで構いません（必要人数は自動的に空欄になります）。実績入力後に再計算してください。必要人数は『計画工数 ÷ 1人あたり週有効稼働時間』で自動算出しています。</t>
        </is>
      </c>
      <c r="B30" s="242" t="n"/>
      <c r="C30" s="242" t="n"/>
      <c r="D30" s="242" t="n"/>
      <c r="E30" s="242" t="n"/>
      <c r="F30" s="242" t="n"/>
      <c r="G30" s="242" t="n"/>
      <c r="H30" s="242" t="n"/>
      <c r="I30" s="242" t="n"/>
      <c r="J30" s="242" t="n"/>
      <c r="K30" s="242" t="n"/>
      <c r="L30" s="242" t="n"/>
      <c r="M30" s="242" t="n"/>
      <c r="N30" s="242" t="n"/>
      <c r="O30" s="243" t="n"/>
    </row>
    <row r="31" ht="15.75" customHeight="1" s="236">
      <c r="A31" s="249" t="inlineStr">
        <is>
          <t>【11〜12月について】11月は移管ペース本格化・ワーカー戦力化・年末調整準備、12月は年末調整・賞与対応と完全移管の見極めです。★ママワークスでの追加ワーカー採用は10月開始のため、戦力化は11月以降を想定しています（キャパシティシート④を参照）。</t>
        </is>
      </c>
      <c r="B31" s="242" t="n"/>
      <c r="C31" s="242" t="n"/>
      <c r="D31" s="242" t="n"/>
      <c r="E31" s="242" t="n"/>
      <c r="F31" s="242" t="n"/>
      <c r="G31" s="242" t="n"/>
      <c r="H31" s="242" t="n"/>
      <c r="I31" s="242" t="n"/>
      <c r="J31" s="242" t="n"/>
      <c r="K31" s="242" t="n"/>
      <c r="L31" s="242" t="n"/>
      <c r="M31" s="242" t="n"/>
      <c r="N31" s="242" t="n"/>
      <c r="O31" s="243" t="n"/>
    </row>
    <row r="32" ht="15.75" customHeight="1" s="236"/>
    <row r="33" ht="15.75" customHeight="1" s="236"/>
    <row r="34" ht="15.75" customHeight="1" s="236"/>
    <row r="35" ht="15.75" customHeight="1" s="236"/>
    <row r="36" ht="15.75" customHeight="1" s="236"/>
    <row r="37" ht="15.75" customHeight="1" s="236"/>
    <row r="38" ht="15.75" customHeight="1" s="236"/>
    <row r="39" ht="15.75" customHeight="1" s="236"/>
    <row r="40" ht="15.75" customHeight="1" s="236"/>
    <row r="41" ht="15.75" customHeight="1" s="236"/>
    <row r="42" ht="15.75" customHeight="1" s="236"/>
    <row r="43" ht="15.75" customHeight="1" s="236"/>
    <row r="44" ht="15.75" customHeight="1" s="236"/>
    <row r="45" ht="15.75" customHeight="1" s="236"/>
    <row r="46" ht="15.75" customHeight="1" s="236"/>
    <row r="47" ht="15.75" customHeight="1" s="236"/>
    <row r="48" ht="15.75" customHeight="1" s="236"/>
    <row r="49" ht="15.75" customHeight="1" s="236"/>
    <row r="50" ht="15.75" customHeight="1" s="236"/>
    <row r="51" ht="15.75" customHeight="1" s="236"/>
    <row r="52" ht="15.75" customHeight="1" s="236"/>
    <row r="53" ht="15.75" customHeight="1" s="236"/>
    <row r="54" ht="15.75" customHeight="1" s="236"/>
    <row r="55" ht="15.75" customHeight="1" s="236"/>
    <row r="56" ht="15.75" customHeight="1" s="236"/>
    <row r="57" ht="15.75" customHeight="1" s="236"/>
    <row r="58" ht="15.75" customHeight="1" s="236"/>
    <row r="59" ht="15.75" customHeight="1" s="236"/>
    <row r="60" ht="15.75" customHeight="1" s="236"/>
    <row r="61" ht="15.75" customHeight="1" s="236"/>
    <row r="62" ht="15.75" customHeight="1" s="236"/>
    <row r="63" ht="15.75" customHeight="1" s="236"/>
    <row r="64" ht="15.75" customHeight="1" s="236"/>
    <row r="65" ht="15.75" customHeight="1" s="236"/>
    <row r="66" ht="15.75" customHeight="1" s="236"/>
    <row r="67" ht="15.75" customHeight="1" s="236"/>
    <row r="68" ht="15.75" customHeight="1" s="236"/>
    <row r="69" ht="15.75" customHeight="1" s="236"/>
    <row r="70" ht="15.75" customHeight="1" s="236"/>
    <row r="71" ht="15.75" customHeight="1" s="236"/>
    <row r="72" ht="15.75" customHeight="1" s="236"/>
    <row r="73" ht="15.75" customHeight="1" s="236"/>
    <row r="74" ht="15.75" customHeight="1" s="236"/>
    <row r="75" ht="15.75" customHeight="1" s="236"/>
    <row r="76" ht="15.75" customHeight="1" s="236"/>
    <row r="77" ht="15.75" customHeight="1" s="236"/>
    <row r="78" ht="15.75" customHeight="1" s="236"/>
    <row r="79" ht="15.75" customHeight="1" s="236"/>
    <row r="80" ht="15.75" customHeight="1" s="236"/>
    <row r="81" ht="15.75" customHeight="1" s="236"/>
    <row r="82" ht="15.75" customHeight="1" s="236"/>
    <row r="83" ht="15.75" customHeight="1" s="236"/>
    <row r="84" ht="15.75" customHeight="1" s="236"/>
    <row r="85" ht="15.75" customHeight="1" s="236"/>
    <row r="86" ht="15.75" customHeight="1" s="236"/>
    <row r="87" ht="15.75" customHeight="1" s="236"/>
    <row r="88" ht="15.75" customHeight="1" s="236"/>
    <row r="89" ht="15.75" customHeight="1" s="236"/>
    <row r="90" ht="15.75" customHeight="1" s="236"/>
    <row r="91" ht="15.75" customHeight="1" s="236"/>
    <row r="92" ht="15.75" customHeight="1" s="236"/>
    <row r="93" ht="15.75" customHeight="1" s="236"/>
    <row r="94" ht="15.75" customHeight="1" s="236"/>
    <row r="95" ht="15.75" customHeight="1" s="236"/>
    <row r="96" ht="15.75" customHeight="1" s="236"/>
    <row r="97" ht="15.75" customHeight="1" s="236"/>
    <row r="98" ht="15.75" customHeight="1" s="236"/>
    <row r="99" ht="15.75" customHeight="1" s="236"/>
    <row r="100" ht="15.75" customHeight="1" s="236"/>
    <row r="101" ht="15.75" customHeight="1" s="236"/>
    <row r="102" ht="15.75" customHeight="1" s="236"/>
    <row r="103" ht="15.75" customHeight="1" s="236"/>
    <row r="104" ht="15.75" customHeight="1" s="236"/>
    <row r="105" ht="15.75" customHeight="1" s="236"/>
    <row r="106" ht="15.75" customHeight="1" s="236"/>
    <row r="107" ht="15.75" customHeight="1" s="236"/>
    <row r="108" ht="15.75" customHeight="1" s="236"/>
    <row r="109" ht="15.75" customHeight="1" s="236"/>
    <row r="110" ht="15.75" customHeight="1" s="236"/>
    <row r="111" ht="15.75" customHeight="1" s="236"/>
    <row r="112" ht="15.75" customHeight="1" s="236"/>
    <row r="113" ht="15.75" customHeight="1" s="236"/>
    <row r="114" ht="15.75" customHeight="1" s="236"/>
    <row r="115" ht="15.75" customHeight="1" s="236"/>
    <row r="116" ht="15.75" customHeight="1" s="236"/>
    <row r="117" ht="15.75" customHeight="1" s="236"/>
    <row r="118" ht="15.75" customHeight="1" s="236"/>
    <row r="119" ht="15.75" customHeight="1" s="236"/>
    <row r="120" ht="15.75" customHeight="1" s="236"/>
    <row r="121" ht="15.75" customHeight="1" s="236"/>
    <row r="122" ht="15.75" customHeight="1" s="236"/>
    <row r="123" ht="15.75" customHeight="1" s="236"/>
    <row r="124" ht="15.75" customHeight="1" s="236"/>
    <row r="125" ht="15.75" customHeight="1" s="236"/>
    <row r="126" ht="15.75" customHeight="1" s="236"/>
    <row r="127" ht="15.75" customHeight="1" s="236"/>
    <row r="128" ht="15.75" customHeight="1" s="236"/>
    <row r="129" ht="15.75" customHeight="1" s="236"/>
    <row r="130" ht="15.75" customHeight="1" s="236"/>
    <row r="131" ht="15.75" customHeight="1" s="236"/>
    <row r="132" ht="15.75" customHeight="1" s="236"/>
    <row r="133" ht="15.75" customHeight="1" s="236"/>
    <row r="134" ht="15.75" customHeight="1" s="236"/>
    <row r="135" ht="15.75" customHeight="1" s="236"/>
    <row r="136" ht="15.75" customHeight="1" s="236"/>
    <row r="137" ht="15.75" customHeight="1" s="236"/>
    <row r="138" ht="15.75" customHeight="1" s="236"/>
    <row r="139" ht="15.75" customHeight="1" s="236"/>
    <row r="140" ht="15.75" customHeight="1" s="236"/>
    <row r="141" ht="15.75" customHeight="1" s="236"/>
    <row r="142" ht="15.75" customHeight="1" s="236"/>
    <row r="143" ht="15.75" customHeight="1" s="236"/>
    <row r="144" ht="15.75" customHeight="1" s="236"/>
    <row r="145" ht="15.75" customHeight="1" s="236"/>
    <row r="146" ht="15.75" customHeight="1" s="236"/>
    <row r="147" ht="15.75" customHeight="1" s="236"/>
    <row r="148" ht="15.75" customHeight="1" s="236"/>
    <row r="149" ht="15.75" customHeight="1" s="236"/>
    <row r="150" ht="15.75" customHeight="1" s="236"/>
    <row r="151" ht="15.75" customHeight="1" s="236"/>
    <row r="152" ht="15.75" customHeight="1" s="236"/>
    <row r="153" ht="15.75" customHeight="1" s="236"/>
    <row r="154" ht="15.75" customHeight="1" s="236"/>
    <row r="155" ht="15.75" customHeight="1" s="236"/>
    <row r="156" ht="15.75" customHeight="1" s="236"/>
    <row r="157" ht="15.75" customHeight="1" s="236"/>
    <row r="158" ht="15.75" customHeight="1" s="236"/>
    <row r="159" ht="15.75" customHeight="1" s="236"/>
    <row r="160" ht="15.75" customHeight="1" s="236"/>
    <row r="161" ht="15.75" customHeight="1" s="236"/>
    <row r="162" ht="15.75" customHeight="1" s="236"/>
    <row r="163" ht="15.75" customHeight="1" s="236"/>
    <row r="164" ht="15.75" customHeight="1" s="236"/>
    <row r="165" ht="15.75" customHeight="1" s="236"/>
    <row r="166" ht="15.75" customHeight="1" s="236"/>
    <row r="167" ht="15.75" customHeight="1" s="236"/>
    <row r="168" ht="15.75" customHeight="1" s="236"/>
    <row r="169" ht="15.75" customHeight="1" s="236"/>
    <row r="170" ht="15.75" customHeight="1" s="236"/>
    <row r="171" ht="15.75" customHeight="1" s="236"/>
    <row r="172" ht="15.75" customHeight="1" s="236"/>
    <row r="173" ht="15.75" customHeight="1" s="236"/>
    <row r="174" ht="15.75" customHeight="1" s="236"/>
    <row r="175" ht="15.75" customHeight="1" s="236"/>
    <row r="176" ht="15.75" customHeight="1" s="236"/>
    <row r="177" ht="15.75" customHeight="1" s="236"/>
    <row r="178" ht="15.75" customHeight="1" s="236"/>
    <row r="179" ht="15.75" customHeight="1" s="236"/>
    <row r="180" ht="15.75" customHeight="1" s="236"/>
    <row r="181" ht="15.75" customHeight="1" s="236"/>
    <row r="182" ht="15.75" customHeight="1" s="236"/>
    <row r="183" ht="15.75" customHeight="1" s="236"/>
    <row r="184" ht="15.75" customHeight="1" s="236"/>
    <row r="185" ht="15.75" customHeight="1" s="236"/>
    <row r="186" ht="15.75" customHeight="1" s="236"/>
    <row r="187" ht="15.75" customHeight="1" s="236"/>
    <row r="188" ht="15.75" customHeight="1" s="236"/>
    <row r="189" ht="15.75" customHeight="1" s="236"/>
    <row r="190" ht="15.75" customHeight="1" s="236"/>
    <row r="191" ht="15.75" customHeight="1" s="236"/>
    <row r="192" ht="15.75" customHeight="1" s="236"/>
    <row r="193" ht="15.75" customHeight="1" s="236"/>
    <row r="194" ht="15.75" customHeight="1" s="236"/>
    <row r="195" ht="15.75" customHeight="1" s="236"/>
    <row r="196" ht="15.75" customHeight="1" s="236"/>
    <row r="197" ht="15.75" customHeight="1" s="236"/>
    <row r="198" ht="15.75" customHeight="1" s="236"/>
    <row r="199" ht="15.75" customHeight="1" s="236"/>
    <row r="200" ht="15.75" customHeight="1" s="236"/>
    <row r="201" ht="15.75" customHeight="1" s="236"/>
    <row r="202" ht="15.75" customHeight="1" s="236"/>
    <row r="203" ht="15.75" customHeight="1" s="236"/>
    <row r="204" ht="15.75" customHeight="1" s="236"/>
    <row r="205" ht="15.75" customHeight="1" s="236"/>
    <row r="206" ht="15.75" customHeight="1" s="236"/>
    <row r="207" ht="15.75" customHeight="1" s="236"/>
    <row r="208" ht="15.75" customHeight="1" s="236"/>
    <row r="209" ht="15.75" customHeight="1" s="236"/>
    <row r="210" ht="15.75" customHeight="1" s="236"/>
    <row r="211" ht="15.75" customHeight="1" s="236"/>
    <row r="212" ht="15.75" customHeight="1" s="236"/>
    <row r="213" ht="15.75" customHeight="1" s="236"/>
    <row r="214" ht="15.75" customHeight="1" s="236"/>
    <row r="215" ht="15.75" customHeight="1" s="236"/>
    <row r="216" ht="15.75" customHeight="1" s="236"/>
    <row r="217" ht="15.75" customHeight="1" s="236"/>
    <row r="218" ht="15.75" customHeight="1" s="236"/>
    <row r="219" ht="15.75" customHeight="1" s="236"/>
    <row r="220" ht="15.75" customHeight="1" s="236"/>
    <row r="221" ht="15.75" customHeight="1" s="236"/>
    <row r="222" ht="15.75" customHeight="1" s="236"/>
    <row r="223" ht="15.75" customHeight="1" s="236"/>
    <row r="224" ht="15.75" customHeight="1" s="236"/>
    <row r="225" ht="15.75" customHeight="1" s="236"/>
    <row r="226" ht="15.75" customHeight="1" s="236"/>
    <row r="227" ht="15.75" customHeight="1" s="236"/>
    <row r="228" ht="15.75" customHeight="1" s="236"/>
    <row r="229" ht="15.75" customHeight="1" s="236"/>
    <row r="230" ht="15.75" customHeight="1" s="236"/>
    <row r="231" ht="15.75" customHeight="1" s="236"/>
    <row r="232" ht="15.75" customHeight="1" s="236"/>
    <row r="233" ht="15.75" customHeight="1" s="236"/>
    <row r="234" ht="15.75" customHeight="1" s="236"/>
    <row r="235" ht="15.75" customHeight="1" s="236"/>
    <row r="236" ht="15.75" customHeight="1" s="236"/>
    <row r="237" ht="15.75" customHeight="1" s="236"/>
    <row r="238" ht="15.75" customHeight="1" s="236"/>
    <row r="239" ht="15.75" customHeight="1" s="236"/>
    <row r="240" ht="15.75" customHeight="1" s="236"/>
    <row r="241" ht="15.75" customHeight="1" s="236"/>
    <row r="242" ht="15.75" customHeight="1" s="236"/>
    <row r="243" ht="15.75" customHeight="1" s="236"/>
    <row r="244" ht="15.75" customHeight="1" s="236"/>
    <row r="245" ht="15.75" customHeight="1" s="236"/>
    <row r="246" ht="15.75" customHeight="1" s="236"/>
    <row r="247" ht="15.75" customHeight="1" s="236"/>
    <row r="248" ht="15.75" customHeight="1" s="236"/>
    <row r="249" ht="15.75" customHeight="1" s="236"/>
    <row r="250" ht="15.75" customHeight="1" s="236"/>
    <row r="251" ht="15.75" customHeight="1" s="236"/>
    <row r="252" ht="15.75" customHeight="1" s="236"/>
    <row r="253" ht="15.75" customHeight="1" s="236"/>
    <row r="254" ht="15.75" customHeight="1" s="236"/>
    <row r="255" ht="15.75" customHeight="1" s="236"/>
    <row r="256" ht="15.75" customHeight="1" s="236"/>
    <row r="257" ht="15.75" customHeight="1" s="236"/>
    <row r="258" ht="15.75" customHeight="1" s="236"/>
    <row r="259" ht="15.75" customHeight="1" s="236"/>
    <row r="260" ht="15.75" customHeight="1" s="236"/>
    <row r="261" ht="15.75" customHeight="1" s="236"/>
    <row r="262" ht="15.75" customHeight="1" s="236"/>
    <row r="263" ht="15.75" customHeight="1" s="236"/>
    <row r="264" ht="15.75" customHeight="1" s="236"/>
    <row r="265" ht="15.75" customHeight="1" s="236"/>
    <row r="266" ht="15.75" customHeight="1" s="236"/>
    <row r="267" ht="15.75" customHeight="1" s="236"/>
    <row r="268" ht="15.75" customHeight="1" s="236"/>
    <row r="269" ht="15.75" customHeight="1" s="236"/>
    <row r="270" ht="15.75" customHeight="1" s="236"/>
    <row r="271" ht="15.75" customHeight="1" s="236"/>
    <row r="272" ht="15.75" customHeight="1" s="236"/>
    <row r="273" ht="15.75" customHeight="1" s="236"/>
    <row r="274" ht="15.75" customHeight="1" s="236"/>
    <row r="275" ht="15.75" customHeight="1" s="236"/>
    <row r="276" ht="15.75" customHeight="1" s="236"/>
    <row r="277" ht="15.75" customHeight="1" s="236"/>
    <row r="278" ht="15.75" customHeight="1" s="236"/>
    <row r="279" ht="15.75" customHeight="1" s="236"/>
    <row r="280" ht="15.75" customHeight="1" s="236"/>
    <row r="281" ht="15.75" customHeight="1" s="236"/>
    <row r="282" ht="15.75" customHeight="1" s="236"/>
    <row r="283" ht="15.75" customHeight="1" s="236"/>
    <row r="284" ht="15.75" customHeight="1" s="236"/>
    <row r="285" ht="15.75" customHeight="1" s="236"/>
    <row r="286" ht="15.75" customHeight="1" s="236"/>
    <row r="287" ht="15.75" customHeight="1" s="236"/>
    <row r="288" ht="15.75" customHeight="1" s="236"/>
    <row r="289" ht="15.75" customHeight="1" s="236"/>
    <row r="290" ht="15.75" customHeight="1" s="236"/>
    <row r="291" ht="15.75" customHeight="1" s="236"/>
    <row r="292" ht="15.75" customHeight="1" s="236"/>
    <row r="293" ht="15.75" customHeight="1" s="236"/>
    <row r="294" ht="15.75" customHeight="1" s="236"/>
    <row r="295" ht="15.75" customHeight="1" s="236"/>
    <row r="296" ht="15.75" customHeight="1" s="236"/>
    <row r="297" ht="15.75" customHeight="1" s="236"/>
    <row r="298" ht="15.75" customHeight="1" s="236"/>
    <row r="299" ht="15.75" customHeight="1" s="236"/>
    <row r="300" ht="15.75" customHeight="1" s="236"/>
    <row r="301" ht="15.75" customHeight="1" s="236"/>
    <row r="302" ht="15.75" customHeight="1" s="236"/>
    <row r="303" ht="15.75" customHeight="1" s="236"/>
    <row r="304" ht="15.75" customHeight="1" s="236"/>
    <row r="305" ht="15.75" customHeight="1" s="236"/>
    <row r="306" ht="15.75" customHeight="1" s="236"/>
    <row r="307" ht="15.75" customHeight="1" s="236"/>
    <row r="308" ht="15.75" customHeight="1" s="236"/>
    <row r="309" ht="15.75" customHeight="1" s="236"/>
    <row r="310" ht="15.75" customHeight="1" s="236"/>
    <row r="311" ht="15.75" customHeight="1" s="236"/>
    <row r="312" ht="15.75" customHeight="1" s="236"/>
    <row r="313" ht="15.75" customHeight="1" s="236"/>
    <row r="314" ht="15.75" customHeight="1" s="236"/>
    <row r="315" ht="15.75" customHeight="1" s="236"/>
    <row r="316" ht="15.75" customHeight="1" s="236"/>
    <row r="317" ht="15.75" customHeight="1" s="236"/>
    <row r="318" ht="15.75" customHeight="1" s="236"/>
    <row r="319" ht="15.75" customHeight="1" s="236"/>
    <row r="320" ht="15.75" customHeight="1" s="236"/>
    <row r="321" ht="15.75" customHeight="1" s="236"/>
    <row r="322" ht="15.75" customHeight="1" s="236"/>
    <row r="323" ht="15.75" customHeight="1" s="236"/>
    <row r="324" ht="15.75" customHeight="1" s="236"/>
    <row r="325" ht="15.75" customHeight="1" s="236"/>
    <row r="326" ht="15.75" customHeight="1" s="236"/>
    <row r="327" ht="15.75" customHeight="1" s="236"/>
    <row r="328" ht="15.75" customHeight="1" s="236"/>
    <row r="329" ht="15.75" customHeight="1" s="236"/>
    <row r="330" ht="15.75" customHeight="1" s="236"/>
    <row r="331" ht="15.75" customHeight="1" s="236"/>
    <row r="332" ht="15.75" customHeight="1" s="236"/>
    <row r="333" ht="15.75" customHeight="1" s="236"/>
    <row r="334" ht="15.75" customHeight="1" s="236"/>
    <row r="335" ht="15.75" customHeight="1" s="236"/>
    <row r="336" ht="15.75" customHeight="1" s="236"/>
    <row r="337" ht="15.75" customHeight="1" s="236"/>
    <row r="338" ht="15.75" customHeight="1" s="236"/>
    <row r="339" ht="15.75" customHeight="1" s="236"/>
    <row r="340" ht="15.75" customHeight="1" s="236"/>
    <row r="341" ht="15.75" customHeight="1" s="236"/>
    <row r="342" ht="15.75" customHeight="1" s="236"/>
    <row r="343" ht="15.75" customHeight="1" s="236"/>
    <row r="344" ht="15.75" customHeight="1" s="236"/>
    <row r="345" ht="15.75" customHeight="1" s="236"/>
    <row r="346" ht="15.75" customHeight="1" s="236"/>
    <row r="347" ht="15.75" customHeight="1" s="236"/>
    <row r="348" ht="15.75" customHeight="1" s="236"/>
    <row r="349" ht="15.75" customHeight="1" s="236"/>
    <row r="350" ht="15.75" customHeight="1" s="236"/>
    <row r="351" ht="15.75" customHeight="1" s="236"/>
    <row r="352" ht="15.75" customHeight="1" s="236"/>
    <row r="353" ht="15.75" customHeight="1" s="236"/>
    <row r="354" ht="15.75" customHeight="1" s="236"/>
    <row r="355" ht="15.75" customHeight="1" s="236"/>
    <row r="356" ht="15.75" customHeight="1" s="236"/>
    <row r="357" ht="15.75" customHeight="1" s="236"/>
    <row r="358" ht="15.75" customHeight="1" s="236"/>
    <row r="359" ht="15.75" customHeight="1" s="236"/>
    <row r="360" ht="15.75" customHeight="1" s="236"/>
    <row r="361" ht="15.75" customHeight="1" s="236"/>
    <row r="362" ht="15.75" customHeight="1" s="236"/>
    <row r="363" ht="15.75" customHeight="1" s="236"/>
    <row r="364" ht="15.75" customHeight="1" s="236"/>
    <row r="365" ht="15.75" customHeight="1" s="236"/>
    <row r="366" ht="15.75" customHeight="1" s="236"/>
    <row r="367" ht="15.75" customHeight="1" s="236"/>
    <row r="368" ht="15.75" customHeight="1" s="236"/>
    <row r="369" ht="15.75" customHeight="1" s="236"/>
    <row r="370" ht="15.75" customHeight="1" s="236"/>
    <row r="371" ht="15.75" customHeight="1" s="236"/>
    <row r="372" ht="15.75" customHeight="1" s="236"/>
    <row r="373" ht="15.75" customHeight="1" s="236"/>
    <row r="374" ht="15.75" customHeight="1" s="236"/>
    <row r="375" ht="15.75" customHeight="1" s="236"/>
    <row r="376" ht="15.75" customHeight="1" s="236"/>
    <row r="377" ht="15.75" customHeight="1" s="236"/>
    <row r="378" ht="15.75" customHeight="1" s="236"/>
    <row r="379" ht="15.75" customHeight="1" s="236"/>
    <row r="380" ht="15.75" customHeight="1" s="236"/>
    <row r="381" ht="15.75" customHeight="1" s="236"/>
    <row r="382" ht="15.75" customHeight="1" s="236"/>
    <row r="383" ht="15.75" customHeight="1" s="236"/>
    <row r="384" ht="15.75" customHeight="1" s="236"/>
    <row r="385" ht="15.75" customHeight="1" s="236"/>
    <row r="386" ht="15.75" customHeight="1" s="236"/>
    <row r="387" ht="15.75" customHeight="1" s="236"/>
    <row r="388" ht="15.75" customHeight="1" s="236"/>
    <row r="389" ht="15.75" customHeight="1" s="236"/>
    <row r="390" ht="15.75" customHeight="1" s="236"/>
    <row r="391" ht="15.75" customHeight="1" s="236"/>
    <row r="392" ht="15.75" customHeight="1" s="236"/>
    <row r="393" ht="15.75" customHeight="1" s="236"/>
    <row r="394" ht="15.75" customHeight="1" s="236"/>
    <row r="395" ht="15.75" customHeight="1" s="236"/>
    <row r="396" ht="15.75" customHeight="1" s="236"/>
    <row r="397" ht="15.75" customHeight="1" s="236"/>
    <row r="398" ht="15.75" customHeight="1" s="236"/>
    <row r="399" ht="15.75" customHeight="1" s="236"/>
    <row r="400" ht="15.75" customHeight="1" s="236"/>
    <row r="401" ht="15.75" customHeight="1" s="236"/>
    <row r="402" ht="15.75" customHeight="1" s="236"/>
    <row r="403" ht="15.75" customHeight="1" s="236"/>
    <row r="404" ht="15.75" customHeight="1" s="236"/>
    <row r="405" ht="15.75" customHeight="1" s="236"/>
    <row r="406" ht="15.75" customHeight="1" s="236"/>
    <row r="407" ht="15.75" customHeight="1" s="236"/>
    <row r="408" ht="15.75" customHeight="1" s="236"/>
    <row r="409" ht="15.75" customHeight="1" s="236"/>
    <row r="410" ht="15.75" customHeight="1" s="236"/>
    <row r="411" ht="15.75" customHeight="1" s="236"/>
    <row r="412" ht="15.75" customHeight="1" s="236"/>
    <row r="413" ht="15.75" customHeight="1" s="236"/>
    <row r="414" ht="15.75" customHeight="1" s="236"/>
    <row r="415" ht="15.75" customHeight="1" s="236"/>
    <row r="416" ht="15.75" customHeight="1" s="236"/>
    <row r="417" ht="15.75" customHeight="1" s="236"/>
    <row r="418" ht="15.75" customHeight="1" s="236"/>
    <row r="419" ht="15.75" customHeight="1" s="236"/>
    <row r="420" ht="15.75" customHeight="1" s="236"/>
    <row r="421" ht="15.75" customHeight="1" s="236"/>
    <row r="422" ht="15.75" customHeight="1" s="236"/>
    <row r="423" ht="15.75" customHeight="1" s="236"/>
    <row r="424" ht="15.75" customHeight="1" s="236"/>
    <row r="425" ht="15.75" customHeight="1" s="236"/>
    <row r="426" ht="15.75" customHeight="1" s="236"/>
    <row r="427" ht="15.75" customHeight="1" s="236"/>
    <row r="428" ht="15.75" customHeight="1" s="236"/>
    <row r="429" ht="15.75" customHeight="1" s="236"/>
    <row r="430" ht="15.75" customHeight="1" s="236"/>
    <row r="431" ht="15.75" customHeight="1" s="236"/>
    <row r="432" ht="15.75" customHeight="1" s="236"/>
    <row r="433" ht="15.75" customHeight="1" s="236"/>
    <row r="434" ht="15.75" customHeight="1" s="236"/>
    <row r="435" ht="15.75" customHeight="1" s="236"/>
    <row r="436" ht="15.75" customHeight="1" s="236"/>
    <row r="437" ht="15.75" customHeight="1" s="236"/>
    <row r="438" ht="15.75" customHeight="1" s="236"/>
    <row r="439" ht="15.75" customHeight="1" s="236"/>
    <row r="440" ht="15.75" customHeight="1" s="236"/>
    <row r="441" ht="15.75" customHeight="1" s="236"/>
    <row r="442" ht="15.75" customHeight="1" s="236"/>
    <row r="443" ht="15.75" customHeight="1" s="236"/>
    <row r="444" ht="15.75" customHeight="1" s="236"/>
    <row r="445" ht="15.75" customHeight="1" s="236"/>
    <row r="446" ht="15.75" customHeight="1" s="236"/>
    <row r="447" ht="15.75" customHeight="1" s="236"/>
    <row r="448" ht="15.75" customHeight="1" s="236"/>
    <row r="449" ht="15.75" customHeight="1" s="236"/>
    <row r="450" ht="15.75" customHeight="1" s="236"/>
    <row r="451" ht="15.75" customHeight="1" s="236"/>
    <row r="452" ht="15.75" customHeight="1" s="236"/>
    <row r="453" ht="15.75" customHeight="1" s="236"/>
    <row r="454" ht="15.75" customHeight="1" s="236"/>
    <row r="455" ht="15.75" customHeight="1" s="236"/>
    <row r="456" ht="15.75" customHeight="1" s="236"/>
    <row r="457" ht="15.75" customHeight="1" s="236"/>
    <row r="458" ht="15.75" customHeight="1" s="236"/>
    <row r="459" ht="15.75" customHeight="1" s="236"/>
    <row r="460" ht="15.75" customHeight="1" s="236"/>
    <row r="461" ht="15.75" customHeight="1" s="236"/>
    <row r="462" ht="15.75" customHeight="1" s="236"/>
    <row r="463" ht="15.75" customHeight="1" s="236"/>
    <row r="464" ht="15.75" customHeight="1" s="236"/>
    <row r="465" ht="15.75" customHeight="1" s="236"/>
    <row r="466" ht="15.75" customHeight="1" s="236"/>
    <row r="467" ht="15.75" customHeight="1" s="236"/>
    <row r="468" ht="15.75" customHeight="1" s="236"/>
    <row r="469" ht="15.75" customHeight="1" s="236"/>
    <row r="470" ht="15.75" customHeight="1" s="236"/>
    <row r="471" ht="15.75" customHeight="1" s="236"/>
    <row r="472" ht="15.75" customHeight="1" s="236"/>
    <row r="473" ht="15.75" customHeight="1" s="236"/>
    <row r="474" ht="15.75" customHeight="1" s="236"/>
    <row r="475" ht="15.75" customHeight="1" s="236"/>
    <row r="476" ht="15.75" customHeight="1" s="236"/>
    <row r="477" ht="15.75" customHeight="1" s="236"/>
    <row r="478" ht="15.75" customHeight="1" s="236"/>
    <row r="479" ht="15.75" customHeight="1" s="236"/>
    <row r="480" ht="15.75" customHeight="1" s="236"/>
    <row r="481" ht="15.75" customHeight="1" s="236"/>
    <row r="482" ht="15.75" customHeight="1" s="236"/>
    <row r="483" ht="15.75" customHeight="1" s="236"/>
    <row r="484" ht="15.75" customHeight="1" s="236"/>
    <row r="485" ht="15.75" customHeight="1" s="236"/>
    <row r="486" ht="15.75" customHeight="1" s="236"/>
    <row r="487" ht="15.75" customHeight="1" s="236"/>
    <row r="488" ht="15.75" customHeight="1" s="236"/>
    <row r="489" ht="15.75" customHeight="1" s="236"/>
    <row r="490" ht="15.75" customHeight="1" s="236"/>
    <row r="491" ht="15.75" customHeight="1" s="236"/>
    <row r="492" ht="15.75" customHeight="1" s="236"/>
    <row r="493" ht="15.75" customHeight="1" s="236"/>
    <row r="494" ht="15.75" customHeight="1" s="236"/>
    <row r="495" ht="15.75" customHeight="1" s="236"/>
    <row r="496" ht="15.75" customHeight="1" s="236"/>
    <row r="497" ht="15.75" customHeight="1" s="236"/>
    <row r="498" ht="15.75" customHeight="1" s="236"/>
    <row r="499" ht="15.75" customHeight="1" s="236"/>
    <row r="500" ht="15.75" customHeight="1" s="236"/>
    <row r="501" ht="15.75" customHeight="1" s="236"/>
    <row r="502" ht="15.75" customHeight="1" s="236"/>
    <row r="503" ht="15.75" customHeight="1" s="236"/>
    <row r="504" ht="15.75" customHeight="1" s="236"/>
    <row r="505" ht="15.75" customHeight="1" s="236"/>
    <row r="506" ht="15.75" customHeight="1" s="236"/>
    <row r="507" ht="15.75" customHeight="1" s="236"/>
    <row r="508" ht="15.75" customHeight="1" s="236"/>
    <row r="509" ht="15.75" customHeight="1" s="236"/>
    <row r="510" ht="15.75" customHeight="1" s="236"/>
    <row r="511" ht="15.75" customHeight="1" s="236"/>
    <row r="512" ht="15.75" customHeight="1" s="236"/>
    <row r="513" ht="15.75" customHeight="1" s="236"/>
    <row r="514" ht="15.75" customHeight="1" s="236"/>
    <row r="515" ht="15.75" customHeight="1" s="236"/>
    <row r="516" ht="15.75" customHeight="1" s="236"/>
    <row r="517" ht="15.75" customHeight="1" s="236"/>
    <row r="518" ht="15.75" customHeight="1" s="236"/>
    <row r="519" ht="15.75" customHeight="1" s="236"/>
    <row r="520" ht="15.75" customHeight="1" s="236"/>
    <row r="521" ht="15.75" customHeight="1" s="236"/>
    <row r="522" ht="15.75" customHeight="1" s="236"/>
    <row r="523" ht="15.75" customHeight="1" s="236"/>
    <row r="524" ht="15.75" customHeight="1" s="236"/>
    <row r="525" ht="15.75" customHeight="1" s="236"/>
    <row r="526" ht="15.75" customHeight="1" s="236"/>
    <row r="527" ht="15.75" customHeight="1" s="236"/>
    <row r="528" ht="15.75" customHeight="1" s="236"/>
    <row r="529" ht="15.75" customHeight="1" s="236"/>
    <row r="530" ht="15.75" customHeight="1" s="236"/>
    <row r="531" ht="15.75" customHeight="1" s="236"/>
    <row r="532" ht="15.75" customHeight="1" s="236"/>
    <row r="533" ht="15.75" customHeight="1" s="236"/>
    <row r="534" ht="15.75" customHeight="1" s="236"/>
    <row r="535" ht="15.75" customHeight="1" s="236"/>
    <row r="536" ht="15.75" customHeight="1" s="236"/>
    <row r="537" ht="15.75" customHeight="1" s="236"/>
    <row r="538" ht="15.75" customHeight="1" s="236"/>
    <row r="539" ht="15.75" customHeight="1" s="236"/>
    <row r="540" ht="15.75" customHeight="1" s="236"/>
    <row r="541" ht="15.75" customHeight="1" s="236"/>
    <row r="542" ht="15.75" customHeight="1" s="236"/>
    <row r="543" ht="15.75" customHeight="1" s="236"/>
    <row r="544" ht="15.75" customHeight="1" s="236"/>
    <row r="545" ht="15.75" customHeight="1" s="236"/>
    <row r="546" ht="15.75" customHeight="1" s="236"/>
    <row r="547" ht="15.75" customHeight="1" s="236"/>
    <row r="548" ht="15.75" customHeight="1" s="236"/>
    <row r="549" ht="15.75" customHeight="1" s="236"/>
    <row r="550" ht="15.75" customHeight="1" s="236"/>
    <row r="551" ht="15.75" customHeight="1" s="236"/>
    <row r="552" ht="15.75" customHeight="1" s="236"/>
    <row r="553" ht="15.75" customHeight="1" s="236"/>
    <row r="554" ht="15.75" customHeight="1" s="236"/>
    <row r="555" ht="15.75" customHeight="1" s="236"/>
    <row r="556" ht="15.75" customHeight="1" s="236"/>
    <row r="557" ht="15.75" customHeight="1" s="236"/>
    <row r="558" ht="15.75" customHeight="1" s="236"/>
    <row r="559" ht="15.75" customHeight="1" s="236"/>
    <row r="560" ht="15.75" customHeight="1" s="236"/>
    <row r="561" ht="15.75" customHeight="1" s="236"/>
    <row r="562" ht="15.75" customHeight="1" s="236"/>
    <row r="563" ht="15.75" customHeight="1" s="236"/>
    <row r="564" ht="15.75" customHeight="1" s="236"/>
    <row r="565" ht="15.75" customHeight="1" s="236"/>
    <row r="566" ht="15.75" customHeight="1" s="236"/>
    <row r="567" ht="15.75" customHeight="1" s="236"/>
    <row r="568" ht="15.75" customHeight="1" s="236"/>
    <row r="569" ht="15.75" customHeight="1" s="236"/>
    <row r="570" ht="15.75" customHeight="1" s="236"/>
    <row r="571" ht="15.75" customHeight="1" s="236"/>
    <row r="572" ht="15.75" customHeight="1" s="236"/>
    <row r="573" ht="15.75" customHeight="1" s="236"/>
    <row r="574" ht="15.75" customHeight="1" s="236"/>
    <row r="575" ht="15.75" customHeight="1" s="236"/>
    <row r="576" ht="15.75" customHeight="1" s="236"/>
    <row r="577" ht="15.75" customHeight="1" s="236"/>
    <row r="578" ht="15.75" customHeight="1" s="236"/>
    <row r="579" ht="15.75" customHeight="1" s="236"/>
    <row r="580" ht="15.75" customHeight="1" s="236"/>
    <row r="581" ht="15.75" customHeight="1" s="236"/>
    <row r="582" ht="15.75" customHeight="1" s="236"/>
    <row r="583" ht="15.75" customHeight="1" s="236"/>
    <row r="584" ht="15.75" customHeight="1" s="236"/>
    <row r="585" ht="15.75" customHeight="1" s="236"/>
    <row r="586" ht="15.75" customHeight="1" s="236"/>
    <row r="587" ht="15.75" customHeight="1" s="236"/>
    <row r="588" ht="15.75" customHeight="1" s="236"/>
    <row r="589" ht="15.75" customHeight="1" s="236"/>
    <row r="590" ht="15.75" customHeight="1" s="236"/>
    <row r="591" ht="15.75" customHeight="1" s="236"/>
    <row r="592" ht="15.75" customHeight="1" s="236"/>
    <row r="593" ht="15.75" customHeight="1" s="236"/>
    <row r="594" ht="15.75" customHeight="1" s="236"/>
    <row r="595" ht="15.75" customHeight="1" s="236"/>
    <row r="596" ht="15.75" customHeight="1" s="236"/>
    <row r="597" ht="15.75" customHeight="1" s="236"/>
    <row r="598" ht="15.75" customHeight="1" s="236"/>
    <row r="599" ht="15.75" customHeight="1" s="236"/>
    <row r="600" ht="15.75" customHeight="1" s="236"/>
    <row r="601" ht="15.75" customHeight="1" s="236"/>
    <row r="602" ht="15.75" customHeight="1" s="236"/>
    <row r="603" ht="15.75" customHeight="1" s="236"/>
    <row r="604" ht="15.75" customHeight="1" s="236"/>
    <row r="605" ht="15.75" customHeight="1" s="236"/>
    <row r="606" ht="15.75" customHeight="1" s="236"/>
    <row r="607" ht="15.75" customHeight="1" s="236"/>
    <row r="608" ht="15.75" customHeight="1" s="236"/>
    <row r="609" ht="15.75" customHeight="1" s="236"/>
    <row r="610" ht="15.75" customHeight="1" s="236"/>
    <row r="611" ht="15.75" customHeight="1" s="236"/>
    <row r="612" ht="15.75" customHeight="1" s="236"/>
    <row r="613" ht="15.75" customHeight="1" s="236"/>
    <row r="614" ht="15.75" customHeight="1" s="236"/>
    <row r="615" ht="15.75" customHeight="1" s="236"/>
    <row r="616" ht="15.75" customHeight="1" s="236"/>
    <row r="617" ht="15.75" customHeight="1" s="236"/>
    <row r="618" ht="15.75" customHeight="1" s="236"/>
    <row r="619" ht="15.75" customHeight="1" s="236"/>
    <row r="620" ht="15.75" customHeight="1" s="236"/>
    <row r="621" ht="15.75" customHeight="1" s="236"/>
    <row r="622" ht="15.75" customHeight="1" s="236"/>
    <row r="623" ht="15.75" customHeight="1" s="236"/>
    <row r="624" ht="15.75" customHeight="1" s="236"/>
    <row r="625" ht="15.75" customHeight="1" s="236"/>
    <row r="626" ht="15.75" customHeight="1" s="236"/>
    <row r="627" ht="15.75" customHeight="1" s="236"/>
    <row r="628" ht="15.75" customHeight="1" s="236"/>
    <row r="629" ht="15.75" customHeight="1" s="236"/>
    <row r="630" ht="15.75" customHeight="1" s="236"/>
    <row r="631" ht="15.75" customHeight="1" s="236"/>
    <row r="632" ht="15.75" customHeight="1" s="236"/>
    <row r="633" ht="15.75" customHeight="1" s="236"/>
    <row r="634" ht="15.75" customHeight="1" s="236"/>
    <row r="635" ht="15.75" customHeight="1" s="236"/>
    <row r="636" ht="15.75" customHeight="1" s="236"/>
    <row r="637" ht="15.75" customHeight="1" s="236"/>
    <row r="638" ht="15.75" customHeight="1" s="236"/>
    <row r="639" ht="15.75" customHeight="1" s="236"/>
    <row r="640" ht="15.75" customHeight="1" s="236"/>
    <row r="641" ht="15.75" customHeight="1" s="236"/>
    <row r="642" ht="15.75" customHeight="1" s="236"/>
    <row r="643" ht="15.75" customHeight="1" s="236"/>
    <row r="644" ht="15.75" customHeight="1" s="236"/>
    <row r="645" ht="15.75" customHeight="1" s="236"/>
    <row r="646" ht="15.75" customHeight="1" s="236"/>
    <row r="647" ht="15.75" customHeight="1" s="236"/>
    <row r="648" ht="15.75" customHeight="1" s="236"/>
    <row r="649" ht="15.75" customHeight="1" s="236"/>
    <row r="650" ht="15.75" customHeight="1" s="236"/>
    <row r="651" ht="15.75" customHeight="1" s="236"/>
    <row r="652" ht="15.75" customHeight="1" s="236"/>
    <row r="653" ht="15.75" customHeight="1" s="236"/>
    <row r="654" ht="15.75" customHeight="1" s="236"/>
    <row r="655" ht="15.75" customHeight="1" s="236"/>
    <row r="656" ht="15.75" customHeight="1" s="236"/>
    <row r="657" ht="15.75" customHeight="1" s="236"/>
    <row r="658" ht="15.75" customHeight="1" s="236"/>
    <row r="659" ht="15.75" customHeight="1" s="236"/>
    <row r="660" ht="15.75" customHeight="1" s="236"/>
    <row r="661" ht="15.75" customHeight="1" s="236"/>
    <row r="662" ht="15.75" customHeight="1" s="236"/>
    <row r="663" ht="15.75" customHeight="1" s="236"/>
    <row r="664" ht="15.75" customHeight="1" s="236"/>
    <row r="665" ht="15.75" customHeight="1" s="236"/>
    <row r="666" ht="15.75" customHeight="1" s="236"/>
    <row r="667" ht="15.75" customHeight="1" s="236"/>
    <row r="668" ht="15.75" customHeight="1" s="236"/>
    <row r="669" ht="15.75" customHeight="1" s="236"/>
    <row r="670" ht="15.75" customHeight="1" s="236"/>
    <row r="671" ht="15.75" customHeight="1" s="236"/>
    <row r="672" ht="15.75" customHeight="1" s="236"/>
    <row r="673" ht="15.75" customHeight="1" s="236"/>
    <row r="674" ht="15.75" customHeight="1" s="236"/>
    <row r="675" ht="15.75" customHeight="1" s="236"/>
    <row r="676" ht="15.75" customHeight="1" s="236"/>
    <row r="677" ht="15.75" customHeight="1" s="236"/>
    <row r="678" ht="15.75" customHeight="1" s="236"/>
    <row r="679" ht="15.75" customHeight="1" s="236"/>
    <row r="680" ht="15.75" customHeight="1" s="236"/>
    <row r="681" ht="15.75" customHeight="1" s="236"/>
    <row r="682" ht="15.75" customHeight="1" s="236"/>
    <row r="683" ht="15.75" customHeight="1" s="236"/>
    <row r="684" ht="15.75" customHeight="1" s="236"/>
    <row r="685" ht="15.75" customHeight="1" s="236"/>
    <row r="686" ht="15.75" customHeight="1" s="236"/>
    <row r="687" ht="15.75" customHeight="1" s="236"/>
    <row r="688" ht="15.75" customHeight="1" s="236"/>
    <row r="689" ht="15.75" customHeight="1" s="236"/>
    <row r="690" ht="15.75" customHeight="1" s="236"/>
    <row r="691" ht="15.75" customHeight="1" s="236"/>
    <row r="692" ht="15.75" customHeight="1" s="236"/>
    <row r="693" ht="15.75" customHeight="1" s="236"/>
    <row r="694" ht="15.75" customHeight="1" s="236"/>
    <row r="695" ht="15.75" customHeight="1" s="236"/>
    <row r="696" ht="15.75" customHeight="1" s="236"/>
    <row r="697" ht="15.75" customHeight="1" s="236"/>
    <row r="698" ht="15.75" customHeight="1" s="236"/>
    <row r="699" ht="15.75" customHeight="1" s="236"/>
    <row r="700" ht="15.75" customHeight="1" s="236"/>
    <row r="701" ht="15.75" customHeight="1" s="236"/>
    <row r="702" ht="15.75" customHeight="1" s="236"/>
    <row r="703" ht="15.75" customHeight="1" s="236"/>
    <row r="704" ht="15.75" customHeight="1" s="236"/>
    <row r="705" ht="15.75" customHeight="1" s="236"/>
    <row r="706" ht="15.75" customHeight="1" s="236"/>
    <row r="707" ht="15.75" customHeight="1" s="236"/>
    <row r="708" ht="15.75" customHeight="1" s="236"/>
    <row r="709" ht="15.75" customHeight="1" s="236"/>
    <row r="710" ht="15.75" customHeight="1" s="236"/>
    <row r="711" ht="15.75" customHeight="1" s="236"/>
    <row r="712" ht="15.75" customHeight="1" s="236"/>
    <row r="713" ht="15.75" customHeight="1" s="236"/>
    <row r="714" ht="15.75" customHeight="1" s="236"/>
    <row r="715" ht="15.75" customHeight="1" s="236"/>
    <row r="716" ht="15.75" customHeight="1" s="236"/>
    <row r="717" ht="15.75" customHeight="1" s="236"/>
    <row r="718" ht="15.75" customHeight="1" s="236"/>
    <row r="719" ht="15.75" customHeight="1" s="236"/>
    <row r="720" ht="15.75" customHeight="1" s="236"/>
    <row r="721" ht="15.75" customHeight="1" s="236"/>
    <row r="722" ht="15.75" customHeight="1" s="236"/>
    <row r="723" ht="15.75" customHeight="1" s="236"/>
    <row r="724" ht="15.75" customHeight="1" s="236"/>
    <row r="725" ht="15.75" customHeight="1" s="236"/>
    <row r="726" ht="15.75" customHeight="1" s="236"/>
    <row r="727" ht="15.75" customHeight="1" s="236"/>
    <row r="728" ht="15.75" customHeight="1" s="236"/>
    <row r="729" ht="15.75" customHeight="1" s="236"/>
    <row r="730" ht="15.75" customHeight="1" s="236"/>
    <row r="731" ht="15.75" customHeight="1" s="236"/>
    <row r="732" ht="15.75" customHeight="1" s="236"/>
    <row r="733" ht="15.75" customHeight="1" s="236"/>
    <row r="734" ht="15.75" customHeight="1" s="236"/>
    <row r="735" ht="15.75" customHeight="1" s="236"/>
    <row r="736" ht="15.75" customHeight="1" s="236"/>
    <row r="737" ht="15.75" customHeight="1" s="236"/>
    <row r="738" ht="15.75" customHeight="1" s="236"/>
    <row r="739" ht="15.75" customHeight="1" s="236"/>
    <row r="740" ht="15.75" customHeight="1" s="236"/>
    <row r="741" ht="15.75" customHeight="1" s="236"/>
    <row r="742" ht="15.75" customHeight="1" s="236"/>
    <row r="743" ht="15.75" customHeight="1" s="236"/>
    <row r="744" ht="15.75" customHeight="1" s="236"/>
    <row r="745" ht="15.75" customHeight="1" s="236"/>
    <row r="746" ht="15.75" customHeight="1" s="236"/>
    <row r="747" ht="15.75" customHeight="1" s="236"/>
    <row r="748" ht="15.75" customHeight="1" s="236"/>
    <row r="749" ht="15.75" customHeight="1" s="236"/>
    <row r="750" ht="15.75" customHeight="1" s="236"/>
    <row r="751" ht="15.75" customHeight="1" s="236"/>
    <row r="752" ht="15.75" customHeight="1" s="236"/>
    <row r="753" ht="15.75" customHeight="1" s="236"/>
    <row r="754" ht="15.75" customHeight="1" s="236"/>
    <row r="755" ht="15.75" customHeight="1" s="236"/>
    <row r="756" ht="15.75" customHeight="1" s="236"/>
    <row r="757" ht="15.75" customHeight="1" s="236"/>
    <row r="758" ht="15.75" customHeight="1" s="236"/>
    <row r="759" ht="15.75" customHeight="1" s="236"/>
    <row r="760" ht="15.75" customHeight="1" s="236"/>
    <row r="761" ht="15.75" customHeight="1" s="236"/>
    <row r="762" ht="15.75" customHeight="1" s="236"/>
    <row r="763" ht="15.75" customHeight="1" s="236"/>
    <row r="764" ht="15.75" customHeight="1" s="236"/>
    <row r="765" ht="15.75" customHeight="1" s="236"/>
    <row r="766" ht="15.75" customHeight="1" s="236"/>
    <row r="767" ht="15.75" customHeight="1" s="236"/>
    <row r="768" ht="15.75" customHeight="1" s="236"/>
    <row r="769" ht="15.75" customHeight="1" s="236"/>
    <row r="770" ht="15.75" customHeight="1" s="236"/>
    <row r="771" ht="15.75" customHeight="1" s="236"/>
    <row r="772" ht="15.75" customHeight="1" s="236"/>
    <row r="773" ht="15.75" customHeight="1" s="236"/>
    <row r="774" ht="15.75" customHeight="1" s="236"/>
    <row r="775" ht="15.75" customHeight="1" s="236"/>
    <row r="776" ht="15.75" customHeight="1" s="236"/>
    <row r="777" ht="15.75" customHeight="1" s="236"/>
    <row r="778" ht="15.75" customHeight="1" s="236"/>
    <row r="779" ht="15.75" customHeight="1" s="236"/>
    <row r="780" ht="15.75" customHeight="1" s="236"/>
    <row r="781" ht="15.75" customHeight="1" s="236"/>
    <row r="782" ht="15.75" customHeight="1" s="236"/>
    <row r="783" ht="15.75" customHeight="1" s="236"/>
    <row r="784" ht="15.75" customHeight="1" s="236"/>
    <row r="785" ht="15.75" customHeight="1" s="236"/>
    <row r="786" ht="15.75" customHeight="1" s="236"/>
    <row r="787" ht="15.75" customHeight="1" s="236"/>
    <row r="788" ht="15.75" customHeight="1" s="236"/>
    <row r="789" ht="15.75" customHeight="1" s="236"/>
    <row r="790" ht="15.75" customHeight="1" s="236"/>
    <row r="791" ht="15.75" customHeight="1" s="236"/>
    <row r="792" ht="15.75" customHeight="1" s="236"/>
    <row r="793" ht="15.75" customHeight="1" s="236"/>
    <row r="794" ht="15.75" customHeight="1" s="236"/>
    <row r="795" ht="15.75" customHeight="1" s="236"/>
    <row r="796" ht="15.75" customHeight="1" s="236"/>
    <row r="797" ht="15.75" customHeight="1" s="236"/>
    <row r="798" ht="15.75" customHeight="1" s="236"/>
    <row r="799" ht="15.75" customHeight="1" s="236"/>
    <row r="800" ht="15.75" customHeight="1" s="236"/>
    <row r="801" ht="15.75" customHeight="1" s="236"/>
    <row r="802" ht="15.75" customHeight="1" s="236"/>
    <row r="803" ht="15.75" customHeight="1" s="236"/>
    <row r="804" ht="15.75" customHeight="1" s="236"/>
    <row r="805" ht="15.75" customHeight="1" s="236"/>
    <row r="806" ht="15.75" customHeight="1" s="236"/>
    <row r="807" ht="15.75" customHeight="1" s="236"/>
    <row r="808" ht="15.75" customHeight="1" s="236"/>
    <row r="809" ht="15.75" customHeight="1" s="236"/>
    <row r="810" ht="15.75" customHeight="1" s="236"/>
    <row r="811" ht="15.75" customHeight="1" s="236"/>
    <row r="812" ht="15.75" customHeight="1" s="236"/>
    <row r="813" ht="15.75" customHeight="1" s="236"/>
    <row r="814" ht="15.75" customHeight="1" s="236"/>
    <row r="815" ht="15.75" customHeight="1" s="236"/>
    <row r="816" ht="15.75" customHeight="1" s="236"/>
    <row r="817" ht="15.75" customHeight="1" s="236"/>
    <row r="818" ht="15.75" customHeight="1" s="236"/>
    <row r="819" ht="15.75" customHeight="1" s="236"/>
    <row r="820" ht="15.75" customHeight="1" s="236"/>
    <row r="821" ht="15.75" customHeight="1" s="236"/>
    <row r="822" ht="15.75" customHeight="1" s="236"/>
    <row r="823" ht="15.75" customHeight="1" s="236"/>
    <row r="824" ht="15.75" customHeight="1" s="236"/>
    <row r="825" ht="15.75" customHeight="1" s="236"/>
    <row r="826" ht="15.75" customHeight="1" s="236"/>
    <row r="827" ht="15.75" customHeight="1" s="236"/>
    <row r="828" ht="15.75" customHeight="1" s="236"/>
    <row r="829" ht="15.75" customHeight="1" s="236"/>
    <row r="830" ht="15.75" customHeight="1" s="236"/>
    <row r="831" ht="15.75" customHeight="1" s="236"/>
    <row r="832" ht="15.75" customHeight="1" s="236"/>
    <row r="833" ht="15.75" customHeight="1" s="236"/>
    <row r="834" ht="15.75" customHeight="1" s="236"/>
    <row r="835" ht="15.75" customHeight="1" s="236"/>
    <row r="836" ht="15.75" customHeight="1" s="236"/>
    <row r="837" ht="15.75" customHeight="1" s="236"/>
    <row r="838" ht="15.75" customHeight="1" s="236"/>
    <row r="839" ht="15.75" customHeight="1" s="236"/>
    <row r="840" ht="15.75" customHeight="1" s="236"/>
    <row r="841" ht="15.75" customHeight="1" s="236"/>
    <row r="842" ht="15.75" customHeight="1" s="236"/>
    <row r="843" ht="15.75" customHeight="1" s="236"/>
    <row r="844" ht="15.75" customHeight="1" s="236"/>
    <row r="845" ht="15.75" customHeight="1" s="236"/>
    <row r="846" ht="15.75" customHeight="1" s="236"/>
    <row r="847" ht="15.75" customHeight="1" s="236"/>
    <row r="848" ht="15.75" customHeight="1" s="236"/>
    <row r="849" ht="15.75" customHeight="1" s="236"/>
    <row r="850" ht="15.75" customHeight="1" s="236"/>
    <row r="851" ht="15.75" customHeight="1" s="236"/>
    <row r="852" ht="15.75" customHeight="1" s="236"/>
    <row r="853" ht="15.75" customHeight="1" s="236"/>
    <row r="854" ht="15.75" customHeight="1" s="236"/>
    <row r="855" ht="15.75" customHeight="1" s="236"/>
    <row r="856" ht="15.75" customHeight="1" s="236"/>
    <row r="857" ht="15.75" customHeight="1" s="236"/>
    <row r="858" ht="15.75" customHeight="1" s="236"/>
    <row r="859" ht="15.75" customHeight="1" s="236"/>
    <row r="860" ht="15.75" customHeight="1" s="236"/>
    <row r="861" ht="15.75" customHeight="1" s="236"/>
    <row r="862" ht="15.75" customHeight="1" s="236"/>
    <row r="863" ht="15.75" customHeight="1" s="236"/>
    <row r="864" ht="15.75" customHeight="1" s="236"/>
    <row r="865" ht="15.75" customHeight="1" s="236"/>
    <row r="866" ht="15.75" customHeight="1" s="236"/>
    <row r="867" ht="15.75" customHeight="1" s="236"/>
    <row r="868" ht="15.75" customHeight="1" s="236"/>
    <row r="869" ht="15.75" customHeight="1" s="236"/>
    <row r="870" ht="15.75" customHeight="1" s="236"/>
    <row r="871" ht="15.75" customHeight="1" s="236"/>
    <row r="872" ht="15.75" customHeight="1" s="236"/>
    <row r="873" ht="15.75" customHeight="1" s="236"/>
    <row r="874" ht="15.75" customHeight="1" s="236"/>
    <row r="875" ht="15.75" customHeight="1" s="236"/>
    <row r="876" ht="15.75" customHeight="1" s="236"/>
    <row r="877" ht="15.75" customHeight="1" s="236"/>
    <row r="878" ht="15.75" customHeight="1" s="236"/>
    <row r="879" ht="15.75" customHeight="1" s="236"/>
    <row r="880" ht="15.75" customHeight="1" s="236"/>
    <row r="881" ht="15.75" customHeight="1" s="236"/>
    <row r="882" ht="15.75" customHeight="1" s="236"/>
    <row r="883" ht="15.75" customHeight="1" s="236"/>
    <row r="884" ht="15.75" customHeight="1" s="236"/>
    <row r="885" ht="15.75" customHeight="1" s="236"/>
    <row r="886" ht="15.75" customHeight="1" s="236"/>
    <row r="887" ht="15.75" customHeight="1" s="236"/>
    <row r="888" ht="15.75" customHeight="1" s="236"/>
    <row r="889" ht="15.75" customHeight="1" s="236"/>
    <row r="890" ht="15.75" customHeight="1" s="236"/>
    <row r="891" ht="15.75" customHeight="1" s="236"/>
    <row r="892" ht="15.75" customHeight="1" s="236"/>
    <row r="893" ht="15.75" customHeight="1" s="236"/>
    <row r="894" ht="15.75" customHeight="1" s="236"/>
    <row r="895" ht="15.75" customHeight="1" s="236"/>
    <row r="896" ht="15.75" customHeight="1" s="236"/>
    <row r="897" ht="15.75" customHeight="1" s="236"/>
    <row r="898" ht="15.75" customHeight="1" s="236"/>
    <row r="899" ht="15.75" customHeight="1" s="236"/>
    <row r="900" ht="15.75" customHeight="1" s="236"/>
    <row r="901" ht="15.75" customHeight="1" s="236"/>
    <row r="902" ht="15.75" customHeight="1" s="236"/>
    <row r="903" ht="15.75" customHeight="1" s="236"/>
    <row r="904" ht="15.75" customHeight="1" s="236"/>
    <row r="905" ht="15.75" customHeight="1" s="236"/>
    <row r="906" ht="15.75" customHeight="1" s="236"/>
    <row r="907" ht="15.75" customHeight="1" s="236"/>
    <row r="908" ht="15.75" customHeight="1" s="236"/>
    <row r="909" ht="15.75" customHeight="1" s="236"/>
    <row r="910" ht="15.75" customHeight="1" s="236"/>
    <row r="911" ht="15.75" customHeight="1" s="236"/>
    <row r="912" ht="15.75" customHeight="1" s="236"/>
    <row r="913" ht="15.75" customHeight="1" s="236"/>
    <row r="914" ht="15.75" customHeight="1" s="236"/>
    <row r="915" ht="15.75" customHeight="1" s="236"/>
    <row r="916" ht="15.75" customHeight="1" s="236"/>
    <row r="917" ht="15.75" customHeight="1" s="236"/>
    <row r="918" ht="15.75" customHeight="1" s="236"/>
    <row r="919" ht="15.75" customHeight="1" s="236"/>
    <row r="920" ht="15.75" customHeight="1" s="236"/>
    <row r="921" ht="15.75" customHeight="1" s="236"/>
    <row r="922" ht="15.75" customHeight="1" s="236"/>
    <row r="923" ht="15.75" customHeight="1" s="236"/>
    <row r="924" ht="15.75" customHeight="1" s="236"/>
    <row r="925" ht="15.75" customHeight="1" s="236"/>
    <row r="926" ht="15.75" customHeight="1" s="236"/>
    <row r="927" ht="15.75" customHeight="1" s="236"/>
    <row r="928" ht="15.75" customHeight="1" s="236"/>
    <row r="929" ht="15.75" customHeight="1" s="236"/>
    <row r="930" ht="15.75" customHeight="1" s="236"/>
    <row r="931" ht="15.75" customHeight="1" s="236"/>
    <row r="932" ht="15.75" customHeight="1" s="236"/>
    <row r="933" ht="15.75" customHeight="1" s="236"/>
    <row r="934" ht="15.75" customHeight="1" s="236"/>
    <row r="935" ht="15.75" customHeight="1" s="236"/>
    <row r="936" ht="15.75" customHeight="1" s="236"/>
    <row r="937" ht="15.75" customHeight="1" s="236"/>
    <row r="938" ht="15.75" customHeight="1" s="236"/>
    <row r="939" ht="15.75" customHeight="1" s="236"/>
    <row r="940" ht="15.75" customHeight="1" s="236"/>
    <row r="941" ht="15.75" customHeight="1" s="236"/>
    <row r="942" ht="15.75" customHeight="1" s="236"/>
    <row r="943" ht="15.75" customHeight="1" s="236"/>
    <row r="944" ht="15.75" customHeight="1" s="236"/>
    <row r="945" ht="15.75" customHeight="1" s="236"/>
    <row r="946" ht="15.75" customHeight="1" s="236"/>
    <row r="947" ht="15.75" customHeight="1" s="236"/>
    <row r="948" ht="15.75" customHeight="1" s="236"/>
    <row r="949" ht="15.75" customHeight="1" s="236"/>
    <row r="950" ht="15.75" customHeight="1" s="236"/>
    <row r="951" ht="15.75" customHeight="1" s="236"/>
    <row r="952" ht="15.75" customHeight="1" s="236"/>
    <row r="953" ht="15.75" customHeight="1" s="236"/>
    <row r="954" ht="15.75" customHeight="1" s="236"/>
    <row r="955" ht="15.75" customHeight="1" s="236"/>
    <row r="956" ht="15.75" customHeight="1" s="236"/>
    <row r="957" ht="15.75" customHeight="1" s="236"/>
    <row r="958" ht="15.75" customHeight="1" s="236"/>
    <row r="959" ht="15.75" customHeight="1" s="236"/>
    <row r="960" ht="15.75" customHeight="1" s="236"/>
    <row r="961" ht="15.75" customHeight="1" s="236"/>
    <row r="962" ht="15.75" customHeight="1" s="236"/>
    <row r="963" ht="15.75" customHeight="1" s="236"/>
    <row r="964" ht="15.75" customHeight="1" s="236"/>
    <row r="965" ht="15.75" customHeight="1" s="236"/>
    <row r="966" ht="15.75" customHeight="1" s="236"/>
    <row r="967" ht="15.75" customHeight="1" s="236"/>
    <row r="968" ht="15.75" customHeight="1" s="236"/>
    <row r="969" ht="15.75" customHeight="1" s="236"/>
    <row r="970" ht="15.75" customHeight="1" s="236"/>
    <row r="971" ht="15.75" customHeight="1" s="236"/>
    <row r="972" ht="15.75" customHeight="1" s="236"/>
    <row r="973" ht="15.75" customHeight="1" s="236"/>
    <row r="974" ht="15.75" customHeight="1" s="236"/>
    <row r="975" ht="15.75" customHeight="1" s="236"/>
    <row r="976" ht="15.75" customHeight="1" s="236"/>
    <row r="977" ht="15.75" customHeight="1" s="236"/>
    <row r="978" ht="15.75" customHeight="1" s="236"/>
    <row r="979" ht="15.75" customHeight="1" s="236"/>
    <row r="980" ht="15.75" customHeight="1" s="236"/>
    <row r="981" ht="15.75" customHeight="1" s="236"/>
    <row r="982" ht="15.75" customHeight="1" s="236"/>
    <row r="983" ht="15.75" customHeight="1" s="236"/>
    <row r="984" ht="15.75" customHeight="1" s="236"/>
    <row r="985" ht="15.75" customHeight="1" s="236"/>
    <row r="986" ht="15.75" customHeight="1" s="236"/>
    <row r="987" ht="15.75" customHeight="1" s="236"/>
    <row r="988" ht="15.75" customHeight="1" s="236"/>
    <row r="989" ht="15.75" customHeight="1" s="236"/>
    <row r="990" ht="15.75" customHeight="1" s="236"/>
    <row r="991" ht="15.75" customHeight="1" s="236"/>
    <row r="992" ht="15.75" customHeight="1" s="236"/>
    <row r="993" ht="15.75" customHeight="1" s="236"/>
    <row r="994" ht="15.75" customHeight="1" s="236"/>
    <row r="995" ht="15.75" customHeight="1" s="236"/>
    <row r="996" ht="15.75" customHeight="1" s="236"/>
    <row r="997" ht="15.75" customHeight="1" s="236"/>
    <row r="998" ht="15.75" customHeight="1" s="236"/>
    <row r="999" ht="15.75" customHeight="1" s="236"/>
    <row r="1000" ht="15.75" customHeight="1" s="236"/>
    <row r="1001" ht="15.75" customHeight="1" s="236"/>
  </sheetData>
  <autoFilter ref="A7:O24"/>
  <mergeCells count="11">
    <mergeCell ref="A29:O29"/>
    <mergeCell ref="A30:O30"/>
    <mergeCell ref="D6:K6"/>
    <mergeCell ref="A28:O28"/>
    <mergeCell ref="A6:C6"/>
    <mergeCell ref="A5:O5"/>
    <mergeCell ref="L6:O6"/>
    <mergeCell ref="A27:O27"/>
    <mergeCell ref="A31:O31"/>
    <mergeCell ref="A4:O4"/>
    <mergeCell ref="A3:O3"/>
  </mergeCells>
  <conditionalFormatting sqref="M8:M24">
    <cfRule type="cellIs" priority="1" operator="equal" dxfId="26">
      <formula>"完了"</formula>
    </cfRule>
    <cfRule type="cellIs" priority="2" operator="equal" dxfId="27">
      <formula>"進行中"</formula>
    </cfRule>
    <cfRule type="cellIs" priority="3" operator="equal" dxfId="28">
      <formula>"遅延"</formula>
    </cfRule>
    <cfRule type="cellIs" priority="4" operator="equal" dxfId="29">
      <formula>"要確認"</formula>
    </cfRule>
    <cfRule type="cellIs" priority="5" operator="equal" dxfId="30">
      <formula>"未着手"</formula>
    </cfRule>
  </conditionalFormatting>
  <conditionalFormatting sqref="A8:O24">
    <cfRule type="expression" priority="6" dxfId="31">
      <formula>$M8="遅延"</formula>
    </cfRule>
    <cfRule type="expression" priority="7" dxfId="32">
      <formula>$M8="要確認"</formula>
    </cfRule>
  </conditionalFormatting>
  <conditionalFormatting sqref="J8:J24">
    <cfRule type="expression" priority="8" dxfId="28">
      <formula>AND($J8&lt;&gt;"",$I8&lt;&gt;"",$J8&lt;$I8)</formula>
    </cfRule>
  </conditionalFormatting>
  <dataValidations count="1">
    <dataValidation sqref="M8:M24" showDropDown="0" showInputMessage="0" showErrorMessage="0" allowBlank="1" type="list">
      <formula1>"未着手,進行中,完了,遅延,要確認"</formula1>
    </dataValidation>
  </dataValidations>
  <hyperlinks>
    <hyperlink xmlns:r="http://schemas.openxmlformats.org/officeDocument/2006/relationships" ref="B1" location="gid=461492990" r:id="rId1"/>
  </hyperlink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48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236" min="1" max="1"/>
    <col width="30" customWidth="1" style="236" min="2" max="2"/>
    <col width="12" customWidth="1" style="236" min="3" max="3"/>
    <col width="11" customWidth="1" style="236" min="4" max="4"/>
    <col width="11" customWidth="1" style="236" min="5" max="5"/>
    <col width="7" customWidth="1" style="236" min="6" max="6"/>
    <col width="9" customWidth="1" style="236" min="7" max="7"/>
    <col width="2.3" customWidth="1" style="236" min="8" max="8"/>
    <col width="2.3" customWidth="1" style="236" min="9" max="9"/>
    <col width="2.3" customWidth="1" style="236" min="10" max="10"/>
    <col width="2.3" customWidth="1" style="236" min="11" max="11"/>
    <col width="2.3" customWidth="1" style="236" min="12" max="12"/>
    <col width="2.3" customWidth="1" style="236" min="13" max="13"/>
    <col width="2.3" customWidth="1" style="236" min="14" max="14"/>
    <col width="2.3" customWidth="1" style="236" min="15" max="15"/>
    <col width="2.3" customWidth="1" style="236" min="16" max="16"/>
    <col width="2.3" customWidth="1" style="236" min="17" max="17"/>
    <col width="2.3" customWidth="1" style="236" min="18" max="18"/>
    <col width="2.3" customWidth="1" style="236" min="19" max="19"/>
    <col width="2.3" customWidth="1" style="236" min="20" max="20"/>
    <col width="2.3" customWidth="1" style="236" min="21" max="21"/>
    <col width="2.3" customWidth="1" style="236" min="22" max="22"/>
    <col width="2.3" customWidth="1" style="236" min="23" max="23"/>
    <col width="2.3" customWidth="1" style="236" min="24" max="24"/>
    <col width="2.3" customWidth="1" style="236" min="25" max="25"/>
    <col width="2.3" customWidth="1" style="236" min="26" max="26"/>
    <col width="2.3" customWidth="1" style="236" min="27" max="27"/>
    <col width="2.3" customWidth="1" style="236" min="28" max="28"/>
    <col width="2.3" customWidth="1" style="236" min="29" max="29"/>
    <col width="2.3" customWidth="1" style="236" min="30" max="30"/>
    <col width="2.3" customWidth="1" style="236" min="31" max="31"/>
    <col width="2.3" customWidth="1" style="236" min="32" max="32"/>
    <col width="2.3" customWidth="1" style="236" min="33" max="33"/>
    <col width="2.3" customWidth="1" style="236" min="34" max="34"/>
    <col width="2.3" customWidth="1" style="236" min="35" max="35"/>
    <col width="2.3" customWidth="1" style="236" min="36" max="36"/>
    <col width="2.3" customWidth="1" style="236" min="37" max="37"/>
    <col width="2.3" customWidth="1" style="236" min="38" max="38"/>
    <col width="2.3" customWidth="1" style="236" min="39" max="39"/>
    <col width="2.3" customWidth="1" style="236" min="40" max="40"/>
    <col width="2.3" customWidth="1" style="236" min="41" max="41"/>
    <col width="2.3" customWidth="1" style="236" min="42" max="42"/>
    <col width="2.3" customWidth="1" style="236" min="43" max="43"/>
    <col width="2.3" customWidth="1" style="236" min="44" max="44"/>
    <col width="2.3" customWidth="1" style="236" min="45" max="45"/>
    <col width="2.3" customWidth="1" style="236" min="46" max="46"/>
    <col width="2.3" customWidth="1" style="236" min="47" max="47"/>
    <col width="2.3" customWidth="1" style="236" min="48" max="48"/>
    <col width="2.3" customWidth="1" style="236" min="49" max="49"/>
    <col width="2.3" customWidth="1" style="236" min="50" max="50"/>
    <col width="2.3" customWidth="1" style="236" min="51" max="51"/>
    <col width="2.3" customWidth="1" style="236" min="52" max="52"/>
    <col width="2.3" customWidth="1" style="236" min="53" max="53"/>
    <col width="2.3" customWidth="1" style="236" min="54" max="54"/>
    <col width="2.3" customWidth="1" style="236" min="55" max="55"/>
    <col width="2.3" customWidth="1" style="236" min="56" max="56"/>
    <col width="2.3" customWidth="1" style="236" min="57" max="57"/>
    <col width="2.3" customWidth="1" style="236" min="58" max="58"/>
    <col width="2.3" customWidth="1" style="236" min="59" max="59"/>
    <col width="2.3" customWidth="1" style="236" min="60" max="60"/>
    <col width="2.3" customWidth="1" style="236" min="61" max="61"/>
    <col width="2.3" customWidth="1" style="236" min="62" max="62"/>
    <col width="2.3" customWidth="1" style="236" min="63" max="63"/>
    <col width="2.3" customWidth="1" style="236" min="64" max="64"/>
    <col width="2.3" customWidth="1" style="236" min="65" max="65"/>
    <col width="2.3" customWidth="1" style="236" min="66" max="66"/>
    <col width="2.3" customWidth="1" style="236" min="67" max="67"/>
    <col width="2.3" customWidth="1" style="236" min="68" max="68"/>
    <col width="2.3" customWidth="1" style="236" min="69" max="69"/>
    <col width="2.3" customWidth="1" style="236" min="70" max="70"/>
    <col width="2.3" customWidth="1" style="236" min="71" max="71"/>
    <col width="2.3" customWidth="1" style="236" min="72" max="72"/>
    <col width="2.3" customWidth="1" style="236" min="73" max="73"/>
    <col width="2.3" customWidth="1" style="236" min="74" max="74"/>
    <col width="2.3" customWidth="1" style="236" min="75" max="75"/>
    <col width="2.3" customWidth="1" style="236" min="76" max="76"/>
    <col width="2.3" customWidth="1" style="236" min="77" max="77"/>
    <col width="2.3" customWidth="1" style="236" min="78" max="78"/>
    <col width="2.3" customWidth="1" style="236" min="79" max="79"/>
    <col width="2.3" customWidth="1" style="236" min="80" max="80"/>
    <col width="2.3" customWidth="1" style="236" min="81" max="81"/>
    <col width="2.3" customWidth="1" style="236" min="82" max="82"/>
    <col width="2.3" customWidth="1" style="236" min="83" max="83"/>
    <col width="2.3" customWidth="1" style="236" min="84" max="84"/>
    <col width="2.3" customWidth="1" style="236" min="85" max="85"/>
    <col width="2.3" customWidth="1" style="236" min="86" max="86"/>
    <col width="2.3" customWidth="1" style="236" min="87" max="87"/>
    <col width="2.3" customWidth="1" style="236" min="88" max="88"/>
    <col width="2.3" customWidth="1" style="236" min="89" max="89"/>
    <col width="2.3" customWidth="1" style="236" min="90" max="90"/>
    <col width="2.3" customWidth="1" style="236" min="91" max="91"/>
    <col width="2.3" customWidth="1" style="236" min="92" max="92"/>
    <col width="2.3" customWidth="1" style="236" min="93" max="93"/>
    <col width="2.3" customWidth="1" style="236" min="94" max="94"/>
    <col width="2.3" customWidth="1" style="236" min="95" max="95"/>
    <col width="2.3" customWidth="1" style="236" min="96" max="96"/>
    <col width="2.3" customWidth="1" style="236" min="97" max="97"/>
    <col width="2.3" customWidth="1" style="236" min="98" max="98"/>
    <col width="2.3" customWidth="1" style="236" min="99" max="99"/>
    <col width="2.3" customWidth="1" style="236" min="100" max="100"/>
    <col width="2.3" customWidth="1" style="236" min="101" max="101"/>
    <col width="2.3" customWidth="1" style="236" min="102" max="102"/>
    <col width="2.3" customWidth="1" style="236" min="103" max="103"/>
    <col width="2.3" customWidth="1" style="236" min="104" max="104"/>
    <col width="2.3" customWidth="1" style="236" min="105" max="105"/>
    <col width="2.3" customWidth="1" style="236" min="106" max="106"/>
    <col width="2.3" customWidth="1" style="236" min="107" max="107"/>
    <col width="2.3" customWidth="1" style="236" min="108" max="108"/>
    <col width="2.3" customWidth="1" style="236" min="109" max="109"/>
    <col width="2.3" customWidth="1" style="236" min="110" max="110"/>
    <col width="2.3" customWidth="1" style="236" min="111" max="111"/>
    <col width="2.3" customWidth="1" style="236" min="112" max="112"/>
    <col width="2.3" customWidth="1" style="236" min="113" max="113"/>
    <col width="2.3" customWidth="1" style="236" min="114" max="114"/>
    <col width="2.3" customWidth="1" style="236" min="115" max="115"/>
    <col width="2.3" customWidth="1" style="236" min="116" max="116"/>
    <col width="2.3" customWidth="1" style="236" min="117" max="117"/>
    <col width="2.3" customWidth="1" style="236" min="118" max="118"/>
    <col width="2.3" customWidth="1" style="236" min="119" max="119"/>
    <col width="2.3" customWidth="1" style="236" min="120" max="120"/>
    <col width="2.3" customWidth="1" style="236" min="121" max="121"/>
  </cols>
  <sheetData>
    <row r="1" ht="34" customHeight="1" s="236">
      <c r="A1" s="250" t="inlineStr">
        <is>
          <t>An-field様　給与計算業務 完全移管　ガントチャート（2026/9/9 ～ 12/31）</t>
        </is>
      </c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1" t="n"/>
      <c r="W1" s="251" t="n"/>
      <c r="X1" s="251" t="n"/>
      <c r="Y1" s="251" t="n"/>
      <c r="Z1" s="251" t="n"/>
      <c r="AA1" s="251" t="n"/>
      <c r="AB1" s="251" t="n"/>
      <c r="AC1" s="251" t="n"/>
      <c r="AD1" s="251" t="n"/>
      <c r="AE1" s="251" t="n"/>
      <c r="AF1" s="251" t="n"/>
      <c r="AG1" s="251" t="n"/>
      <c r="AH1" s="251" t="n"/>
      <c r="AI1" s="251" t="n"/>
      <c r="AJ1" s="251" t="n"/>
      <c r="AK1" s="251" t="n"/>
      <c r="AL1" s="251" t="n"/>
      <c r="AM1" s="251" t="n"/>
      <c r="AN1" s="251" t="n"/>
      <c r="AO1" s="251" t="n"/>
      <c r="AP1" s="251" t="n"/>
      <c r="AQ1" s="251" t="n"/>
      <c r="AR1" s="251" t="n"/>
      <c r="AS1" s="251" t="n"/>
      <c r="AT1" s="251" t="n"/>
      <c r="AU1" s="251" t="n"/>
      <c r="AV1" s="251" t="n"/>
      <c r="AW1" s="251" t="n"/>
      <c r="AX1" s="251" t="n"/>
      <c r="AY1" s="251" t="n"/>
      <c r="AZ1" s="251" t="n"/>
      <c r="BA1" s="251" t="n"/>
      <c r="BB1" s="251" t="n"/>
      <c r="BC1" s="251" t="n"/>
      <c r="BD1" s="251" t="n"/>
      <c r="BE1" s="251" t="n"/>
      <c r="BF1" s="251" t="n"/>
      <c r="BG1" s="251" t="n"/>
      <c r="BH1" s="251" t="n"/>
      <c r="BI1" s="251" t="n"/>
      <c r="BJ1" s="251" t="n"/>
      <c r="BK1" s="251" t="n"/>
      <c r="BL1" s="251" t="n"/>
      <c r="BM1" s="251" t="n"/>
      <c r="BN1" s="251" t="n"/>
      <c r="BO1" s="251" t="n"/>
      <c r="BP1" s="251" t="n"/>
      <c r="BQ1" s="251" t="n"/>
      <c r="BR1" s="251" t="n"/>
      <c r="BS1" s="251" t="n"/>
      <c r="BT1" s="251" t="n"/>
      <c r="BU1" s="251" t="n"/>
      <c r="BV1" s="251" t="n"/>
      <c r="BW1" s="251" t="n"/>
      <c r="BX1" s="251" t="n"/>
      <c r="BY1" s="251" t="n"/>
      <c r="BZ1" s="251" t="n"/>
      <c r="CA1" s="251" t="n"/>
      <c r="CB1" s="251" t="n"/>
      <c r="CC1" s="251" t="n"/>
      <c r="CD1" s="251" t="n"/>
      <c r="CE1" s="251" t="n"/>
      <c r="CF1" s="251" t="n"/>
      <c r="CG1" s="251" t="n"/>
      <c r="CH1" s="251" t="n"/>
      <c r="CI1" s="251" t="n"/>
      <c r="CJ1" s="251" t="n"/>
      <c r="CK1" s="251" t="n"/>
      <c r="CL1" s="251" t="n"/>
      <c r="CM1" s="251" t="n"/>
      <c r="CN1" s="251" t="n"/>
      <c r="CO1" s="251" t="n"/>
      <c r="CP1" s="251" t="n"/>
      <c r="CQ1" s="251" t="n"/>
      <c r="CR1" s="251" t="n"/>
      <c r="CS1" s="251" t="n"/>
      <c r="CT1" s="251" t="n"/>
      <c r="CU1" s="251" t="n"/>
      <c r="CV1" s="251" t="n"/>
      <c r="CW1" s="251" t="n"/>
      <c r="CX1" s="251" t="n"/>
      <c r="CY1" s="251" t="n"/>
      <c r="CZ1" s="251" t="n"/>
      <c r="DA1" s="251" t="n"/>
      <c r="DB1" s="251" t="n"/>
      <c r="DC1" s="251" t="n"/>
      <c r="DD1" s="251" t="n"/>
      <c r="DE1" s="251" t="n"/>
      <c r="DF1" s="251" t="n"/>
      <c r="DG1" s="251" t="n"/>
      <c r="DH1" s="251" t="n"/>
      <c r="DI1" s="251" t="n"/>
      <c r="DJ1" s="251" t="n"/>
      <c r="DK1" s="251" t="n"/>
      <c r="DL1" s="251" t="n"/>
      <c r="DM1" s="251" t="n"/>
      <c r="DN1" s="251" t="n"/>
      <c r="DO1" s="251" t="n"/>
      <c r="DP1" s="251" t="n"/>
      <c r="DQ1" s="251" t="n"/>
    </row>
    <row r="2" ht="20" customHeight="1" s="236">
      <c r="A2" s="252" t="inlineStr">
        <is>
          <t>色分け：情報整理＝グレー／採用＝紫／引継ぎ＝青／テスト＝水色／実運用＝緑／検証＝オレンジ／リスク＝赤</t>
        </is>
      </c>
      <c r="B2" s="253" t="n"/>
      <c r="C2" s="253" t="n"/>
      <c r="D2" s="253" t="n"/>
      <c r="E2" s="253" t="n"/>
      <c r="F2" s="253" t="n"/>
      <c r="G2" s="253" t="n"/>
      <c r="H2" s="253" t="n"/>
      <c r="I2" s="253" t="n"/>
      <c r="J2" s="253" t="n"/>
      <c r="K2" s="253" t="n"/>
      <c r="L2" s="253" t="n"/>
      <c r="M2" s="253" t="n"/>
      <c r="N2" s="253" t="n"/>
      <c r="O2" s="253" t="n"/>
      <c r="P2" s="253" t="n"/>
      <c r="Q2" s="253" t="n"/>
      <c r="R2" s="253" t="n"/>
      <c r="S2" s="253" t="n"/>
      <c r="T2" s="253" t="n"/>
      <c r="U2" s="253" t="n"/>
      <c r="V2" s="253" t="n"/>
      <c r="W2" s="253" t="n"/>
      <c r="X2" s="253" t="n"/>
      <c r="Y2" s="253" t="n"/>
      <c r="Z2" s="253" t="n"/>
      <c r="AA2" s="253" t="n"/>
      <c r="AB2" s="253" t="n"/>
      <c r="AC2" s="253" t="n"/>
      <c r="AD2" s="253" t="n"/>
      <c r="AE2" s="253" t="n"/>
      <c r="AF2" s="253" t="n"/>
      <c r="AG2" s="253" t="n"/>
      <c r="AH2" s="253" t="n"/>
      <c r="AI2" s="253" t="n"/>
      <c r="AJ2" s="253" t="n"/>
      <c r="AK2" s="253" t="n"/>
      <c r="AL2" s="253" t="n"/>
      <c r="AM2" s="253" t="n"/>
      <c r="AN2" s="253" t="n"/>
      <c r="AO2" s="253" t="n"/>
      <c r="AP2" s="253" t="n"/>
      <c r="AQ2" s="253" t="n"/>
      <c r="AR2" s="253" t="n"/>
      <c r="AS2" s="253" t="n"/>
      <c r="AT2" s="253" t="n"/>
      <c r="AU2" s="253" t="n"/>
      <c r="AV2" s="253" t="n"/>
      <c r="AW2" s="253" t="n"/>
      <c r="AX2" s="253" t="n"/>
      <c r="AY2" s="253" t="n"/>
      <c r="AZ2" s="253" t="n"/>
      <c r="BA2" s="253" t="n"/>
      <c r="BB2" s="253" t="n"/>
      <c r="BC2" s="253" t="n"/>
      <c r="BD2" s="253" t="n"/>
      <c r="BE2" s="253" t="n"/>
      <c r="BF2" s="253" t="n"/>
      <c r="BG2" s="253" t="n"/>
      <c r="BH2" s="253" t="n"/>
      <c r="BI2" s="253" t="n"/>
      <c r="BJ2" s="253" t="n"/>
      <c r="BK2" s="253" t="n"/>
      <c r="BL2" s="253" t="n"/>
      <c r="BM2" s="253" t="n"/>
      <c r="BN2" s="253" t="n"/>
      <c r="BO2" s="253" t="n"/>
      <c r="BP2" s="253" t="n"/>
      <c r="BQ2" s="253" t="n"/>
      <c r="BR2" s="253" t="n"/>
      <c r="BS2" s="253" t="n"/>
      <c r="BT2" s="253" t="n"/>
      <c r="BU2" s="253" t="n"/>
      <c r="BV2" s="253" t="n"/>
      <c r="BW2" s="253" t="n"/>
      <c r="BX2" s="253" t="n"/>
      <c r="BY2" s="253" t="n"/>
      <c r="BZ2" s="253" t="n"/>
      <c r="CA2" s="253" t="n"/>
      <c r="CB2" s="253" t="n"/>
      <c r="CC2" s="253" t="n"/>
      <c r="CD2" s="253" t="n"/>
      <c r="CE2" s="253" t="n"/>
      <c r="CF2" s="253" t="n"/>
      <c r="CG2" s="253" t="n"/>
      <c r="CH2" s="253" t="n"/>
      <c r="CI2" s="253" t="n"/>
      <c r="CJ2" s="253" t="n"/>
      <c r="CK2" s="253" t="n"/>
      <c r="CL2" s="253" t="n"/>
      <c r="CM2" s="253" t="n"/>
      <c r="CN2" s="253" t="n"/>
      <c r="CO2" s="253" t="n"/>
      <c r="CP2" s="253" t="n"/>
      <c r="CQ2" s="253" t="n"/>
      <c r="CR2" s="253" t="n"/>
      <c r="CS2" s="253" t="n"/>
      <c r="CT2" s="253" t="n"/>
      <c r="CU2" s="253" t="n"/>
      <c r="CV2" s="253" t="n"/>
      <c r="CW2" s="253" t="n"/>
      <c r="CX2" s="253" t="n"/>
      <c r="CY2" s="253" t="n"/>
      <c r="CZ2" s="253" t="n"/>
      <c r="DA2" s="253" t="n"/>
      <c r="DB2" s="253" t="n"/>
      <c r="DC2" s="253" t="n"/>
      <c r="DD2" s="253" t="n"/>
      <c r="DE2" s="253" t="n"/>
      <c r="DF2" s="253" t="n"/>
      <c r="DG2" s="253" t="n"/>
      <c r="DH2" s="253" t="n"/>
      <c r="DI2" s="253" t="n"/>
      <c r="DJ2" s="253" t="n"/>
      <c r="DK2" s="253" t="n"/>
      <c r="DL2" s="253" t="n"/>
      <c r="DM2" s="253" t="n"/>
      <c r="DN2" s="253" t="n"/>
      <c r="DO2" s="253" t="n"/>
      <c r="DP2" s="253" t="n"/>
      <c r="DQ2" s="253" t="n"/>
    </row>
    <row r="3" ht="18" customHeight="1" s="236">
      <c r="A3" s="254" t="inlineStr">
        <is>
          <t>※本シートの件数・工数・人数はすべて【暫定計画値】です。会社別工数・実績確認後に更新してください（確定値ではありません）。</t>
        </is>
      </c>
      <c r="B3" s="255" t="n"/>
      <c r="C3" s="255" t="n"/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  <c r="U3" s="255" t="n"/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  <c r="AI3" s="255" t="n"/>
      <c r="AJ3" s="255" t="n"/>
      <c r="AK3" s="255" t="n"/>
      <c r="AL3" s="255" t="n"/>
      <c r="AM3" s="255" t="n"/>
      <c r="AN3" s="255" t="n"/>
      <c r="AO3" s="255" t="n"/>
      <c r="AP3" s="255" t="n"/>
      <c r="AQ3" s="255" t="n"/>
      <c r="AR3" s="255" t="n"/>
      <c r="AS3" s="255" t="n"/>
      <c r="AT3" s="255" t="n"/>
      <c r="AU3" s="255" t="n"/>
      <c r="AV3" s="255" t="n"/>
      <c r="AW3" s="255" t="n"/>
      <c r="AX3" s="255" t="n"/>
      <c r="AY3" s="255" t="n"/>
      <c r="AZ3" s="255" t="n"/>
      <c r="BA3" s="255" t="n"/>
      <c r="BB3" s="255" t="n"/>
      <c r="BC3" s="255" t="n"/>
      <c r="BD3" s="255" t="n"/>
      <c r="BE3" s="255" t="n"/>
      <c r="BF3" s="255" t="n"/>
      <c r="BG3" s="255" t="n"/>
      <c r="BH3" s="255" t="n"/>
      <c r="BI3" s="255" t="n"/>
      <c r="BJ3" s="255" t="n"/>
      <c r="BK3" s="255" t="n"/>
      <c r="BL3" s="255" t="n"/>
      <c r="BM3" s="255" t="n"/>
      <c r="BN3" s="255" t="n"/>
      <c r="BO3" s="255" t="n"/>
      <c r="BP3" s="255" t="n"/>
      <c r="BQ3" s="255" t="n"/>
      <c r="BR3" s="255" t="n"/>
      <c r="BS3" s="255" t="n"/>
      <c r="BT3" s="255" t="n"/>
      <c r="BU3" s="255" t="n"/>
      <c r="BV3" s="255" t="n"/>
      <c r="BW3" s="255" t="n"/>
      <c r="BX3" s="255" t="n"/>
      <c r="BY3" s="255" t="n"/>
      <c r="BZ3" s="255" t="n"/>
      <c r="CA3" s="255" t="n"/>
      <c r="CB3" s="255" t="n"/>
      <c r="CC3" s="255" t="n"/>
      <c r="CD3" s="255" t="n"/>
      <c r="CE3" s="255" t="n"/>
      <c r="CF3" s="255" t="n"/>
      <c r="CG3" s="255" t="n"/>
      <c r="CH3" s="255" t="n"/>
      <c r="CI3" s="255" t="n"/>
      <c r="CJ3" s="255" t="n"/>
      <c r="CK3" s="255" t="n"/>
      <c r="CL3" s="255" t="n"/>
      <c r="CM3" s="255" t="n"/>
      <c r="CN3" s="255" t="n"/>
      <c r="CO3" s="255" t="n"/>
      <c r="CP3" s="255" t="n"/>
      <c r="CQ3" s="255" t="n"/>
      <c r="CR3" s="255" t="n"/>
      <c r="CS3" s="255" t="n"/>
      <c r="CT3" s="255" t="n"/>
      <c r="CU3" s="255" t="n"/>
      <c r="CV3" s="255" t="n"/>
      <c r="CW3" s="255" t="n"/>
      <c r="CX3" s="255" t="n"/>
      <c r="CY3" s="255" t="n"/>
      <c r="CZ3" s="255" t="n"/>
      <c r="DA3" s="255" t="n"/>
      <c r="DB3" s="255" t="n"/>
      <c r="DC3" s="255" t="n"/>
      <c r="DD3" s="255" t="n"/>
      <c r="DE3" s="255" t="n"/>
      <c r="DF3" s="255" t="n"/>
      <c r="DG3" s="255" t="n"/>
      <c r="DH3" s="255" t="n"/>
      <c r="DI3" s="255" t="n"/>
      <c r="DJ3" s="255" t="n"/>
      <c r="DK3" s="255" t="n"/>
      <c r="DL3" s="255" t="n"/>
      <c r="DM3" s="255" t="n"/>
      <c r="DN3" s="255" t="n"/>
      <c r="DO3" s="255" t="n"/>
      <c r="DP3" s="255" t="n"/>
      <c r="DQ3" s="255" t="n"/>
    </row>
    <row r="4" ht="18" customHeight="1" s="236">
      <c r="A4" s="256" t="inlineStr">
        <is>
          <t>【重要】10月＝完全移管ではありません。10月は「先行企業 実運用・対象企業拡大」フェーズです。　ママワークスでの追加ワーカー採用は2026年10月開始。11〜12月は年末調整・賞与対応と並行して移管を進めます。</t>
        </is>
      </c>
      <c r="B4" s="257" t="n"/>
      <c r="C4" s="257" t="n"/>
      <c r="D4" s="257" t="n"/>
      <c r="E4" s="257" t="n"/>
      <c r="F4" s="257" t="n"/>
      <c r="G4" s="257" t="n"/>
      <c r="H4" s="257" t="n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  <c r="AA4" s="257" t="n"/>
      <c r="AB4" s="257" t="n"/>
      <c r="AC4" s="257" t="n"/>
      <c r="AD4" s="257" t="n"/>
      <c r="AE4" s="257" t="n"/>
      <c r="AF4" s="257" t="n"/>
      <c r="AG4" s="257" t="n"/>
      <c r="AH4" s="257" t="n"/>
      <c r="AI4" s="257" t="n"/>
      <c r="AJ4" s="257" t="n"/>
      <c r="AK4" s="257" t="n"/>
      <c r="AL4" s="257" t="n"/>
      <c r="AM4" s="257" t="n"/>
      <c r="AN4" s="257" t="n"/>
      <c r="AO4" s="257" t="n"/>
      <c r="AP4" s="257" t="n"/>
      <c r="AQ4" s="257" t="n"/>
      <c r="AR4" s="257" t="n"/>
      <c r="AS4" s="257" t="n"/>
      <c r="AT4" s="257" t="n"/>
      <c r="AU4" s="257" t="n"/>
      <c r="AV4" s="257" t="n"/>
      <c r="AW4" s="257" t="n"/>
      <c r="AX4" s="257" t="n"/>
      <c r="AY4" s="257" t="n"/>
      <c r="AZ4" s="257" t="n"/>
      <c r="BA4" s="257" t="n"/>
      <c r="BB4" s="257" t="n"/>
      <c r="BC4" s="257" t="n"/>
      <c r="BD4" s="257" t="n"/>
      <c r="BE4" s="257" t="n"/>
      <c r="BF4" s="257" t="n"/>
      <c r="BG4" s="257" t="n"/>
      <c r="BH4" s="257" t="n"/>
      <c r="BI4" s="257" t="n"/>
      <c r="BJ4" s="257" t="n"/>
      <c r="BK4" s="257" t="n"/>
      <c r="BL4" s="257" t="n"/>
      <c r="BM4" s="257" t="n"/>
      <c r="BN4" s="257" t="n"/>
      <c r="BO4" s="257" t="n"/>
      <c r="BP4" s="257" t="n"/>
      <c r="BQ4" s="257" t="n"/>
      <c r="BR4" s="257" t="n"/>
      <c r="BS4" s="257" t="n"/>
      <c r="BT4" s="257" t="n"/>
      <c r="BU4" s="257" t="n"/>
      <c r="BV4" s="257" t="n"/>
      <c r="BW4" s="257" t="n"/>
      <c r="BX4" s="257" t="n"/>
      <c r="BY4" s="257" t="n"/>
      <c r="BZ4" s="257" t="n"/>
      <c r="CA4" s="257" t="n"/>
      <c r="CB4" s="257" t="n"/>
      <c r="CC4" s="257" t="n"/>
      <c r="CD4" s="257" t="n"/>
      <c r="CE4" s="257" t="n"/>
      <c r="CF4" s="257" t="n"/>
      <c r="CG4" s="257" t="n"/>
      <c r="CH4" s="257" t="n"/>
      <c r="CI4" s="257" t="n"/>
      <c r="CJ4" s="257" t="n"/>
      <c r="CK4" s="257" t="n"/>
      <c r="CL4" s="257" t="n"/>
      <c r="CM4" s="257" t="n"/>
      <c r="CN4" s="257" t="n"/>
      <c r="CO4" s="257" t="n"/>
      <c r="CP4" s="257" t="n"/>
      <c r="CQ4" s="257" t="n"/>
      <c r="CR4" s="257" t="n"/>
      <c r="CS4" s="257" t="n"/>
      <c r="CT4" s="257" t="n"/>
      <c r="CU4" s="257" t="n"/>
      <c r="CV4" s="257" t="n"/>
      <c r="CW4" s="257" t="n"/>
      <c r="CX4" s="257" t="n"/>
      <c r="CY4" s="257" t="n"/>
      <c r="CZ4" s="257" t="n"/>
      <c r="DA4" s="257" t="n"/>
      <c r="DB4" s="257" t="n"/>
      <c r="DC4" s="257" t="n"/>
      <c r="DD4" s="257" t="n"/>
      <c r="DE4" s="257" t="n"/>
      <c r="DF4" s="257" t="n"/>
      <c r="DG4" s="257" t="n"/>
      <c r="DH4" s="257" t="n"/>
      <c r="DI4" s="257" t="n"/>
      <c r="DJ4" s="257" t="n"/>
      <c r="DK4" s="257" t="n"/>
      <c r="DL4" s="257" t="n"/>
      <c r="DM4" s="257" t="n"/>
      <c r="DN4" s="257" t="n"/>
      <c r="DO4" s="257" t="n"/>
      <c r="DP4" s="257" t="n"/>
      <c r="DQ4" s="257" t="n"/>
    </row>
    <row r="5" ht="20" customHeight="1" s="236">
      <c r="A5" s="258" t="inlineStr">
        <is>
          <t>【凡例】区分の色</t>
        </is>
      </c>
      <c r="H5" s="259" t="n"/>
      <c r="I5" s="260" t="inlineStr">
        <is>
          <t>情報整理</t>
        </is>
      </c>
      <c r="N5" s="261" t="n"/>
      <c r="O5" s="260" t="inlineStr">
        <is>
          <t>採用</t>
        </is>
      </c>
      <c r="T5" s="262" t="n"/>
      <c r="U5" s="260" t="inlineStr">
        <is>
          <t>引継ぎ</t>
        </is>
      </c>
      <c r="Z5" s="263" t="n"/>
      <c r="AA5" s="260" t="inlineStr">
        <is>
          <t>テスト</t>
        </is>
      </c>
      <c r="AF5" s="264" t="n"/>
      <c r="AG5" s="260" t="inlineStr">
        <is>
          <t>実運用</t>
        </is>
      </c>
      <c r="AL5" s="265" t="n"/>
      <c r="AM5" s="260" t="inlineStr">
        <is>
          <t>検証</t>
        </is>
      </c>
      <c r="AR5" s="266" t="n"/>
      <c r="AS5" s="260" t="inlineStr">
        <is>
          <t>リスク</t>
        </is>
      </c>
    </row>
    <row r="6" ht="20" customHeight="1" s="236">
      <c r="A6" s="267" t="inlineStr">
        <is>
          <t>月フェーズ</t>
        </is>
      </c>
      <c r="B6" s="268" t="n"/>
      <c r="C6" s="268" t="n"/>
      <c r="D6" s="268" t="n"/>
      <c r="E6" s="268" t="n"/>
      <c r="F6" s="268" t="n"/>
      <c r="G6" s="268" t="n"/>
      <c r="H6" s="269" t="inlineStr">
        <is>
          <t>9月：全社情報整理・優先順位決定・先行企業引継ぎ・テスト計算・採用準備</t>
        </is>
      </c>
      <c r="I6" s="270" t="n"/>
      <c r="J6" s="270" t="n"/>
      <c r="K6" s="270" t="n"/>
      <c r="L6" s="270" t="n"/>
      <c r="M6" s="270" t="n"/>
      <c r="N6" s="270" t="n"/>
      <c r="O6" s="270" t="n"/>
      <c r="P6" s="270" t="n"/>
      <c r="Q6" s="270" t="n"/>
      <c r="R6" s="270" t="n"/>
      <c r="S6" s="270" t="n"/>
      <c r="T6" s="270" t="n"/>
      <c r="U6" s="270" t="n"/>
      <c r="V6" s="270" t="n"/>
      <c r="W6" s="270" t="n"/>
      <c r="X6" s="270" t="n"/>
      <c r="Y6" s="270" t="n"/>
      <c r="Z6" s="270" t="n"/>
      <c r="AA6" s="270" t="n"/>
      <c r="AB6" s="270" t="n"/>
      <c r="AC6" s="270" t="n"/>
      <c r="AD6" s="271" t="inlineStr">
        <is>
          <t>10月：先行企業 実運用・対象企業拡大・運用精度確認／ママワークス採用開始　※完全移管ではありません</t>
        </is>
      </c>
      <c r="AE6" s="272" t="n"/>
      <c r="AF6" s="272" t="n"/>
      <c r="AG6" s="272" t="n"/>
      <c r="AH6" s="272" t="n"/>
      <c r="AI6" s="272" t="n"/>
      <c r="AJ6" s="272" t="n"/>
      <c r="AK6" s="272" t="n"/>
      <c r="AL6" s="272" t="n"/>
      <c r="AM6" s="272" t="n"/>
      <c r="AN6" s="272" t="n"/>
      <c r="AO6" s="272" t="n"/>
      <c r="AP6" s="272" t="n"/>
      <c r="AQ6" s="272" t="n"/>
      <c r="AR6" s="272" t="n"/>
      <c r="AS6" s="272" t="n"/>
      <c r="AT6" s="272" t="n"/>
      <c r="AU6" s="272" t="n"/>
      <c r="AV6" s="272" t="n"/>
      <c r="AW6" s="272" t="n"/>
      <c r="AX6" s="272" t="n"/>
      <c r="AY6" s="272" t="n"/>
      <c r="AZ6" s="272" t="n"/>
      <c r="BA6" s="272" t="n"/>
      <c r="BB6" s="272" t="n"/>
      <c r="BC6" s="272" t="n"/>
      <c r="BD6" s="272" t="n"/>
      <c r="BE6" s="272" t="n"/>
      <c r="BF6" s="272" t="n"/>
      <c r="BG6" s="272" t="n"/>
      <c r="BH6" s="272" t="n"/>
      <c r="BI6" s="273" t="inlineStr">
        <is>
          <t>11月：移管ペース本格化・ワーカー戦力化・年末調整準備</t>
        </is>
      </c>
      <c r="BJ6" s="274" t="n"/>
      <c r="BK6" s="274" t="n"/>
      <c r="BL6" s="274" t="n"/>
      <c r="BM6" s="274" t="n"/>
      <c r="BN6" s="274" t="n"/>
      <c r="BO6" s="274" t="n"/>
      <c r="BP6" s="274" t="n"/>
      <c r="BQ6" s="274" t="n"/>
      <c r="BR6" s="274" t="n"/>
      <c r="BS6" s="274" t="n"/>
      <c r="BT6" s="274" t="n"/>
      <c r="BU6" s="274" t="n"/>
      <c r="BV6" s="274" t="n"/>
      <c r="BW6" s="274" t="n"/>
      <c r="BX6" s="274" t="n"/>
      <c r="BY6" s="274" t="n"/>
      <c r="BZ6" s="274" t="n"/>
      <c r="CA6" s="274" t="n"/>
      <c r="CB6" s="274" t="n"/>
      <c r="CC6" s="274" t="n"/>
      <c r="CD6" s="274" t="n"/>
      <c r="CE6" s="274" t="n"/>
      <c r="CF6" s="274" t="n"/>
      <c r="CG6" s="274" t="n"/>
      <c r="CH6" s="274" t="n"/>
      <c r="CI6" s="274" t="n"/>
      <c r="CJ6" s="274" t="n"/>
      <c r="CK6" s="274" t="n"/>
      <c r="CL6" s="274" t="n"/>
      <c r="CM6" s="275" t="inlineStr">
        <is>
          <t>12月：年末調整・賞与対応・完全移管の見極め</t>
        </is>
      </c>
      <c r="CN6" s="276" t="n"/>
      <c r="CO6" s="276" t="n"/>
      <c r="CP6" s="276" t="n"/>
      <c r="CQ6" s="276" t="n"/>
      <c r="CR6" s="276" t="n"/>
      <c r="CS6" s="276" t="n"/>
      <c r="CT6" s="276" t="n"/>
      <c r="CU6" s="276" t="n"/>
      <c r="CV6" s="276" t="n"/>
      <c r="CW6" s="276" t="n"/>
      <c r="CX6" s="276" t="n"/>
      <c r="CY6" s="276" t="n"/>
      <c r="CZ6" s="276" t="n"/>
      <c r="DA6" s="276" t="n"/>
      <c r="DB6" s="276" t="n"/>
      <c r="DC6" s="276" t="n"/>
      <c r="DD6" s="276" t="n"/>
      <c r="DE6" s="276" t="n"/>
      <c r="DF6" s="276" t="n"/>
      <c r="DG6" s="276" t="n"/>
      <c r="DH6" s="276" t="n"/>
      <c r="DI6" s="276" t="n"/>
      <c r="DJ6" s="276" t="n"/>
      <c r="DK6" s="276" t="n"/>
      <c r="DL6" s="276" t="n"/>
      <c r="DM6" s="276" t="n"/>
      <c r="DN6" s="276" t="n"/>
      <c r="DO6" s="276" t="n"/>
      <c r="DP6" s="276" t="n"/>
      <c r="DQ6" s="276" t="n"/>
    </row>
    <row r="7" ht="18" customHeight="1" s="236">
      <c r="A7" s="277" t="inlineStr">
        <is>
          <t>No.</t>
        </is>
      </c>
      <c r="B7" s="277" t="inlineStr">
        <is>
          <t>タスク</t>
        </is>
      </c>
      <c r="C7" s="277" t="inlineStr">
        <is>
          <t>区分</t>
        </is>
      </c>
      <c r="D7" s="277" t="inlineStr">
        <is>
          <t>開始日
（暫定）</t>
        </is>
      </c>
      <c r="E7" s="277" t="inlineStr">
        <is>
          <t>終了日
（暫定）</t>
        </is>
      </c>
      <c r="F7" s="277" t="inlineStr">
        <is>
          <t>日数</t>
        </is>
      </c>
      <c r="G7" s="277" t="inlineStr">
        <is>
          <t>進捗率
【入力】</t>
        </is>
      </c>
      <c r="H7" s="278" t="inlineStr">
        <is>
          <t>第1週 9/9～9/13</t>
        </is>
      </c>
      <c r="I7" s="268" t="n"/>
      <c r="J7" s="268" t="n"/>
      <c r="K7" s="268" t="n"/>
      <c r="L7" s="268" t="n"/>
      <c r="M7" s="278" t="inlineStr">
        <is>
          <t>第2週 9/14～9/20</t>
        </is>
      </c>
      <c r="N7" s="268" t="n"/>
      <c r="O7" s="268" t="n"/>
      <c r="P7" s="268" t="n"/>
      <c r="Q7" s="268" t="n"/>
      <c r="R7" s="268" t="n"/>
      <c r="S7" s="268" t="n"/>
      <c r="T7" s="278" t="inlineStr">
        <is>
          <t>第3週 9/21～9/27</t>
        </is>
      </c>
      <c r="U7" s="268" t="n"/>
      <c r="V7" s="268" t="n"/>
      <c r="W7" s="268" t="n"/>
      <c r="X7" s="268" t="n"/>
      <c r="Y7" s="268" t="n"/>
      <c r="Z7" s="268" t="n"/>
      <c r="AA7" s="278" t="inlineStr">
        <is>
          <t>第4週 9/28～10/4</t>
        </is>
      </c>
      <c r="AB7" s="268" t="n"/>
      <c r="AC7" s="268" t="n"/>
      <c r="AD7" s="268" t="n"/>
      <c r="AE7" s="268" t="n"/>
      <c r="AF7" s="268" t="n"/>
      <c r="AG7" s="268" t="n"/>
      <c r="AH7" s="278" t="inlineStr">
        <is>
          <t>第5週 10/5～10/11</t>
        </is>
      </c>
      <c r="AI7" s="268" t="n"/>
      <c r="AJ7" s="268" t="n"/>
      <c r="AK7" s="268" t="n"/>
      <c r="AL7" s="268" t="n"/>
      <c r="AM7" s="268" t="n"/>
      <c r="AN7" s="268" t="n"/>
      <c r="AO7" s="278" t="inlineStr">
        <is>
          <t>第6週 10/12～10/18</t>
        </is>
      </c>
      <c r="AP7" s="268" t="n"/>
      <c r="AQ7" s="268" t="n"/>
      <c r="AR7" s="268" t="n"/>
      <c r="AS7" s="268" t="n"/>
      <c r="AT7" s="268" t="n"/>
      <c r="AU7" s="268" t="n"/>
      <c r="AV7" s="278" t="inlineStr">
        <is>
          <t>第7週 10/19～10/25</t>
        </is>
      </c>
      <c r="AW7" s="268" t="n"/>
      <c r="AX7" s="268" t="n"/>
      <c r="AY7" s="268" t="n"/>
      <c r="AZ7" s="268" t="n"/>
      <c r="BA7" s="268" t="n"/>
      <c r="BB7" s="268" t="n"/>
      <c r="BC7" s="278" t="inlineStr">
        <is>
          <t>第8週 10/26～10/31</t>
        </is>
      </c>
      <c r="BD7" s="268" t="n"/>
      <c r="BE7" s="268" t="n"/>
      <c r="BF7" s="268" t="n"/>
      <c r="BG7" s="268" t="n"/>
      <c r="BH7" s="268" t="n"/>
      <c r="BI7" s="278" t="inlineStr">
        <is>
          <t>第9週 11/1～11/8</t>
        </is>
      </c>
      <c r="BJ7" s="268" t="n"/>
      <c r="BK7" s="268" t="n"/>
      <c r="BL7" s="268" t="n"/>
      <c r="BM7" s="268" t="n"/>
      <c r="BN7" s="268" t="n"/>
      <c r="BO7" s="268" t="n"/>
      <c r="BP7" s="268" t="n"/>
      <c r="BQ7" s="278" t="inlineStr">
        <is>
          <t>第10週 11/9～11/15</t>
        </is>
      </c>
      <c r="BR7" s="268" t="n"/>
      <c r="BS7" s="268" t="n"/>
      <c r="BT7" s="268" t="n"/>
      <c r="BU7" s="268" t="n"/>
      <c r="BV7" s="268" t="n"/>
      <c r="BW7" s="268" t="n"/>
      <c r="BX7" s="278" t="inlineStr">
        <is>
          <t>第11週 11/16～11/22</t>
        </is>
      </c>
      <c r="BY7" s="268" t="n"/>
      <c r="BZ7" s="268" t="n"/>
      <c r="CA7" s="268" t="n"/>
      <c r="CB7" s="268" t="n"/>
      <c r="CC7" s="268" t="n"/>
      <c r="CD7" s="268" t="n"/>
      <c r="CE7" s="278" t="inlineStr">
        <is>
          <t>第12週 11/23～11/29</t>
        </is>
      </c>
      <c r="CF7" s="268" t="n"/>
      <c r="CG7" s="268" t="n"/>
      <c r="CH7" s="268" t="n"/>
      <c r="CI7" s="268" t="n"/>
      <c r="CJ7" s="268" t="n"/>
      <c r="CK7" s="268" t="n"/>
      <c r="CL7" s="278" t="inlineStr">
        <is>
          <t>第13週 11/30～12/6</t>
        </is>
      </c>
      <c r="CM7" s="268" t="n"/>
      <c r="CN7" s="268" t="n"/>
      <c r="CO7" s="268" t="n"/>
      <c r="CP7" s="268" t="n"/>
      <c r="CQ7" s="268" t="n"/>
      <c r="CR7" s="268" t="n"/>
      <c r="CS7" s="278" t="inlineStr">
        <is>
          <t>第14週 12/7～12/13</t>
        </is>
      </c>
      <c r="CT7" s="268" t="n"/>
      <c r="CU7" s="268" t="n"/>
      <c r="CV7" s="268" t="n"/>
      <c r="CW7" s="268" t="n"/>
      <c r="CX7" s="268" t="n"/>
      <c r="CY7" s="268" t="n"/>
      <c r="CZ7" s="278" t="inlineStr">
        <is>
          <t>第15週 12/14～12/20</t>
        </is>
      </c>
      <c r="DA7" s="268" t="n"/>
      <c r="DB7" s="268" t="n"/>
      <c r="DC7" s="268" t="n"/>
      <c r="DD7" s="268" t="n"/>
      <c r="DE7" s="268" t="n"/>
      <c r="DF7" s="268" t="n"/>
      <c r="DG7" s="278" t="inlineStr">
        <is>
          <t>第16週 12/21～12/27</t>
        </is>
      </c>
      <c r="DH7" s="268" t="n"/>
      <c r="DI7" s="268" t="n"/>
      <c r="DJ7" s="268" t="n"/>
      <c r="DK7" s="268" t="n"/>
      <c r="DL7" s="268" t="n"/>
      <c r="DM7" s="268" t="n"/>
      <c r="DN7" s="278" t="inlineStr">
        <is>
          <t>第17週 12/28～12/31</t>
        </is>
      </c>
      <c r="DO7" s="268" t="n"/>
      <c r="DP7" s="268" t="n"/>
      <c r="DQ7" s="268" t="n"/>
    </row>
    <row r="8" ht="24" customHeight="1" s="236">
      <c r="A8" s="279" t="n"/>
      <c r="B8" s="279" t="n"/>
      <c r="C8" s="279" t="n"/>
      <c r="D8" s="279" t="n"/>
      <c r="E8" s="279" t="n"/>
      <c r="F8" s="279" t="n"/>
      <c r="G8" s="279" t="n"/>
      <c r="H8" s="280" t="n">
        <v>46274</v>
      </c>
      <c r="I8" s="280" t="n">
        <v>46275</v>
      </c>
      <c r="J8" s="280" t="n">
        <v>46276</v>
      </c>
      <c r="K8" s="280" t="n">
        <v>46277</v>
      </c>
      <c r="L8" s="280" t="n">
        <v>46278</v>
      </c>
      <c r="M8" s="280" t="n">
        <v>46279</v>
      </c>
      <c r="N8" s="280" t="n">
        <v>46280</v>
      </c>
      <c r="O8" s="280" t="n">
        <v>46281</v>
      </c>
      <c r="P8" s="280" t="n">
        <v>46282</v>
      </c>
      <c r="Q8" s="280" t="n">
        <v>46283</v>
      </c>
      <c r="R8" s="280" t="n">
        <v>46284</v>
      </c>
      <c r="S8" s="280" t="n">
        <v>46285</v>
      </c>
      <c r="T8" s="280" t="n">
        <v>46286</v>
      </c>
      <c r="U8" s="280" t="n">
        <v>46287</v>
      </c>
      <c r="V8" s="280" t="n">
        <v>46288</v>
      </c>
      <c r="W8" s="280" t="n">
        <v>46289</v>
      </c>
      <c r="X8" s="280" t="n">
        <v>46290</v>
      </c>
      <c r="Y8" s="280" t="n">
        <v>46291</v>
      </c>
      <c r="Z8" s="280" t="n">
        <v>46292</v>
      </c>
      <c r="AA8" s="281" t="n">
        <v>46293</v>
      </c>
      <c r="AB8" s="280" t="n">
        <v>46294</v>
      </c>
      <c r="AC8" s="280" t="n">
        <v>46295</v>
      </c>
      <c r="AD8" s="282" t="n">
        <v>46296</v>
      </c>
      <c r="AE8" s="280" t="n">
        <v>46297</v>
      </c>
      <c r="AF8" s="280" t="n">
        <v>46298</v>
      </c>
      <c r="AG8" s="280" t="n">
        <v>46299</v>
      </c>
      <c r="AH8" s="280" t="n">
        <v>46300</v>
      </c>
      <c r="AI8" s="280" t="n">
        <v>46301</v>
      </c>
      <c r="AJ8" s="280" t="n">
        <v>46302</v>
      </c>
      <c r="AK8" s="280" t="n">
        <v>46303</v>
      </c>
      <c r="AL8" s="280" t="n">
        <v>46304</v>
      </c>
      <c r="AM8" s="280" t="n">
        <v>46305</v>
      </c>
      <c r="AN8" s="280" t="n">
        <v>46306</v>
      </c>
      <c r="AO8" s="280" t="n">
        <v>46307</v>
      </c>
      <c r="AP8" s="280" t="n">
        <v>46308</v>
      </c>
      <c r="AQ8" s="280" t="n">
        <v>46309</v>
      </c>
      <c r="AR8" s="280" t="n">
        <v>46310</v>
      </c>
      <c r="AS8" s="280" t="n">
        <v>46311</v>
      </c>
      <c r="AT8" s="280" t="n">
        <v>46312</v>
      </c>
      <c r="AU8" s="280" t="n">
        <v>46313</v>
      </c>
      <c r="AV8" s="280" t="n">
        <v>46314</v>
      </c>
      <c r="AW8" s="280" t="n">
        <v>46315</v>
      </c>
      <c r="AX8" s="280" t="n">
        <v>46316</v>
      </c>
      <c r="AY8" s="280" t="n">
        <v>46317</v>
      </c>
      <c r="AZ8" s="280" t="n">
        <v>46318</v>
      </c>
      <c r="BA8" s="280" t="n">
        <v>46319</v>
      </c>
      <c r="BB8" s="280" t="n">
        <v>46320</v>
      </c>
      <c r="BC8" s="280" t="n">
        <v>46321</v>
      </c>
      <c r="BD8" s="280" t="n">
        <v>46322</v>
      </c>
      <c r="BE8" s="280" t="n">
        <v>46323</v>
      </c>
      <c r="BF8" s="280" t="n">
        <v>46324</v>
      </c>
      <c r="BG8" s="280" t="n">
        <v>46325</v>
      </c>
      <c r="BH8" s="283" t="n">
        <v>46326</v>
      </c>
      <c r="BI8" s="280" t="n">
        <v>46327</v>
      </c>
      <c r="BJ8" s="280" t="n">
        <v>46328</v>
      </c>
      <c r="BK8" s="280" t="n">
        <v>46329</v>
      </c>
      <c r="BL8" s="280" t="n">
        <v>46330</v>
      </c>
      <c r="BM8" s="280" t="n">
        <v>46331</v>
      </c>
      <c r="BN8" s="280" t="n">
        <v>46332</v>
      </c>
      <c r="BO8" s="280" t="n">
        <v>46333</v>
      </c>
      <c r="BP8" s="280" t="n">
        <v>46334</v>
      </c>
      <c r="BQ8" s="280" t="n">
        <v>46335</v>
      </c>
      <c r="BR8" s="280" t="n">
        <v>46336</v>
      </c>
      <c r="BS8" s="280" t="n">
        <v>46337</v>
      </c>
      <c r="BT8" s="280" t="n">
        <v>46338</v>
      </c>
      <c r="BU8" s="280" t="n">
        <v>46339</v>
      </c>
      <c r="BV8" s="280" t="n">
        <v>46340</v>
      </c>
      <c r="BW8" s="280" t="n">
        <v>46341</v>
      </c>
      <c r="BX8" s="280" t="n">
        <v>46342</v>
      </c>
      <c r="BY8" s="280" t="n">
        <v>46343</v>
      </c>
      <c r="BZ8" s="280" t="n">
        <v>46344</v>
      </c>
      <c r="CA8" s="280" t="n">
        <v>46345</v>
      </c>
      <c r="CB8" s="280" t="n">
        <v>46346</v>
      </c>
      <c r="CC8" s="280" t="n">
        <v>46347</v>
      </c>
      <c r="CD8" s="280" t="n">
        <v>46348</v>
      </c>
      <c r="CE8" s="280" t="n">
        <v>46349</v>
      </c>
      <c r="CF8" s="280" t="n">
        <v>46350</v>
      </c>
      <c r="CG8" s="280" t="n">
        <v>46351</v>
      </c>
      <c r="CH8" s="280" t="n">
        <v>46352</v>
      </c>
      <c r="CI8" s="280" t="n">
        <v>46353</v>
      </c>
      <c r="CJ8" s="280" t="n">
        <v>46354</v>
      </c>
      <c r="CK8" s="280" t="n">
        <v>46355</v>
      </c>
      <c r="CL8" s="280" t="n">
        <v>46356</v>
      </c>
      <c r="CM8" s="280" t="n">
        <v>46357</v>
      </c>
      <c r="CN8" s="280" t="n">
        <v>46358</v>
      </c>
      <c r="CO8" s="280" t="n">
        <v>46359</v>
      </c>
      <c r="CP8" s="280" t="n">
        <v>46360</v>
      </c>
      <c r="CQ8" s="280" t="n">
        <v>46361</v>
      </c>
      <c r="CR8" s="280" t="n">
        <v>46362</v>
      </c>
      <c r="CS8" s="280" t="n">
        <v>46363</v>
      </c>
      <c r="CT8" s="280" t="n">
        <v>46364</v>
      </c>
      <c r="CU8" s="280" t="n">
        <v>46365</v>
      </c>
      <c r="CV8" s="280" t="n">
        <v>46366</v>
      </c>
      <c r="CW8" s="280" t="n">
        <v>46367</v>
      </c>
      <c r="CX8" s="280" t="n">
        <v>46368</v>
      </c>
      <c r="CY8" s="280" t="n">
        <v>46369</v>
      </c>
      <c r="CZ8" s="280" t="n">
        <v>46370</v>
      </c>
      <c r="DA8" s="280" t="n">
        <v>46371</v>
      </c>
      <c r="DB8" s="280" t="n">
        <v>46372</v>
      </c>
      <c r="DC8" s="280" t="n">
        <v>46373</v>
      </c>
      <c r="DD8" s="280" t="n">
        <v>46374</v>
      </c>
      <c r="DE8" s="280" t="n">
        <v>46375</v>
      </c>
      <c r="DF8" s="280" t="n">
        <v>46376</v>
      </c>
      <c r="DG8" s="280" t="n">
        <v>46377</v>
      </c>
      <c r="DH8" s="280" t="n">
        <v>46378</v>
      </c>
      <c r="DI8" s="280" t="n">
        <v>46379</v>
      </c>
      <c r="DJ8" s="280" t="n">
        <v>46380</v>
      </c>
      <c r="DK8" s="280" t="n">
        <v>46381</v>
      </c>
      <c r="DL8" s="280" t="n">
        <v>46382</v>
      </c>
      <c r="DM8" s="280" t="n">
        <v>46383</v>
      </c>
      <c r="DN8" s="280" t="n">
        <v>46384</v>
      </c>
      <c r="DO8" s="280" t="n">
        <v>46385</v>
      </c>
      <c r="DP8" s="280" t="n">
        <v>46386</v>
      </c>
      <c r="DQ8" s="284" t="n">
        <v>46387</v>
      </c>
    </row>
    <row r="9" ht="16" customHeight="1" s="236">
      <c r="A9" s="279" t="n"/>
      <c r="B9" s="279" t="n"/>
      <c r="C9" s="279" t="n"/>
      <c r="D9" s="279" t="n"/>
      <c r="E9" s="279" t="n"/>
      <c r="F9" s="279" t="n"/>
      <c r="G9" s="279" t="n"/>
      <c r="H9" s="285" t="inlineStr">
        <is>
          <t>水</t>
        </is>
      </c>
      <c r="I9" s="285" t="inlineStr">
        <is>
          <t>木</t>
        </is>
      </c>
      <c r="J9" s="285" t="inlineStr">
        <is>
          <t>金</t>
        </is>
      </c>
      <c r="K9" s="286" t="inlineStr">
        <is>
          <t>土</t>
        </is>
      </c>
      <c r="L9" s="286" t="inlineStr">
        <is>
          <t>日</t>
        </is>
      </c>
      <c r="M9" s="285" t="inlineStr">
        <is>
          <t>月</t>
        </is>
      </c>
      <c r="N9" s="285" t="inlineStr">
        <is>
          <t>火</t>
        </is>
      </c>
      <c r="O9" s="285" t="inlineStr">
        <is>
          <t>水</t>
        </is>
      </c>
      <c r="P9" s="285" t="inlineStr">
        <is>
          <t>木</t>
        </is>
      </c>
      <c r="Q9" s="285" t="inlineStr">
        <is>
          <t>金</t>
        </is>
      </c>
      <c r="R9" s="286" t="inlineStr">
        <is>
          <t>土</t>
        </is>
      </c>
      <c r="S9" s="286" t="inlineStr">
        <is>
          <t>日</t>
        </is>
      </c>
      <c r="T9" s="285" t="inlineStr">
        <is>
          <t>月</t>
        </is>
      </c>
      <c r="U9" s="285" t="inlineStr">
        <is>
          <t>火</t>
        </is>
      </c>
      <c r="V9" s="285" t="inlineStr">
        <is>
          <t>水</t>
        </is>
      </c>
      <c r="W9" s="285" t="inlineStr">
        <is>
          <t>木</t>
        </is>
      </c>
      <c r="X9" s="285" t="inlineStr">
        <is>
          <t>金</t>
        </is>
      </c>
      <c r="Y9" s="286" t="inlineStr">
        <is>
          <t>土</t>
        </is>
      </c>
      <c r="Z9" s="286" t="inlineStr">
        <is>
          <t>日</t>
        </is>
      </c>
      <c r="AA9" s="287" t="inlineStr">
        <is>
          <t>月</t>
        </is>
      </c>
      <c r="AB9" s="285" t="inlineStr">
        <is>
          <t>火</t>
        </is>
      </c>
      <c r="AC9" s="285" t="inlineStr">
        <is>
          <t>水</t>
        </is>
      </c>
      <c r="AD9" s="288" t="inlineStr">
        <is>
          <t>木</t>
        </is>
      </c>
      <c r="AE9" s="285" t="inlineStr">
        <is>
          <t>金</t>
        </is>
      </c>
      <c r="AF9" s="286" t="inlineStr">
        <is>
          <t>土</t>
        </is>
      </c>
      <c r="AG9" s="286" t="inlineStr">
        <is>
          <t>日</t>
        </is>
      </c>
      <c r="AH9" s="285" t="inlineStr">
        <is>
          <t>月</t>
        </is>
      </c>
      <c r="AI9" s="285" t="inlineStr">
        <is>
          <t>火</t>
        </is>
      </c>
      <c r="AJ9" s="285" t="inlineStr">
        <is>
          <t>水</t>
        </is>
      </c>
      <c r="AK9" s="285" t="inlineStr">
        <is>
          <t>木</t>
        </is>
      </c>
      <c r="AL9" s="285" t="inlineStr">
        <is>
          <t>金</t>
        </is>
      </c>
      <c r="AM9" s="286" t="inlineStr">
        <is>
          <t>土</t>
        </is>
      </c>
      <c r="AN9" s="286" t="inlineStr">
        <is>
          <t>日</t>
        </is>
      </c>
      <c r="AO9" s="285" t="inlineStr">
        <is>
          <t>月</t>
        </is>
      </c>
      <c r="AP9" s="285" t="inlineStr">
        <is>
          <t>火</t>
        </is>
      </c>
      <c r="AQ9" s="285" t="inlineStr">
        <is>
          <t>水</t>
        </is>
      </c>
      <c r="AR9" s="285" t="inlineStr">
        <is>
          <t>木</t>
        </is>
      </c>
      <c r="AS9" s="285" t="inlineStr">
        <is>
          <t>金</t>
        </is>
      </c>
      <c r="AT9" s="286" t="inlineStr">
        <is>
          <t>土</t>
        </is>
      </c>
      <c r="AU9" s="286" t="inlineStr">
        <is>
          <t>日</t>
        </is>
      </c>
      <c r="AV9" s="285" t="inlineStr">
        <is>
          <t>月</t>
        </is>
      </c>
      <c r="AW9" s="285" t="inlineStr">
        <is>
          <t>火</t>
        </is>
      </c>
      <c r="AX9" s="285" t="inlineStr">
        <is>
          <t>水</t>
        </is>
      </c>
      <c r="AY9" s="285" t="inlineStr">
        <is>
          <t>木</t>
        </is>
      </c>
      <c r="AZ9" s="285" t="inlineStr">
        <is>
          <t>金</t>
        </is>
      </c>
      <c r="BA9" s="286" t="inlineStr">
        <is>
          <t>土</t>
        </is>
      </c>
      <c r="BB9" s="286" t="inlineStr">
        <is>
          <t>日</t>
        </is>
      </c>
      <c r="BC9" s="285" t="inlineStr">
        <is>
          <t>月</t>
        </is>
      </c>
      <c r="BD9" s="285" t="inlineStr">
        <is>
          <t>火</t>
        </is>
      </c>
      <c r="BE9" s="285" t="inlineStr">
        <is>
          <t>水</t>
        </is>
      </c>
      <c r="BF9" s="285" t="inlineStr">
        <is>
          <t>木</t>
        </is>
      </c>
      <c r="BG9" s="285" t="inlineStr">
        <is>
          <t>金</t>
        </is>
      </c>
      <c r="BH9" s="289" t="inlineStr">
        <is>
          <t>土</t>
        </is>
      </c>
      <c r="BI9" s="286" t="inlineStr">
        <is>
          <t>日</t>
        </is>
      </c>
      <c r="BJ9" s="285" t="inlineStr">
        <is>
          <t>月</t>
        </is>
      </c>
      <c r="BK9" s="285" t="inlineStr">
        <is>
          <t>火</t>
        </is>
      </c>
      <c r="BL9" s="285" t="inlineStr">
        <is>
          <t>水</t>
        </is>
      </c>
      <c r="BM9" s="285" t="inlineStr">
        <is>
          <t>木</t>
        </is>
      </c>
      <c r="BN9" s="285" t="inlineStr">
        <is>
          <t>金</t>
        </is>
      </c>
      <c r="BO9" s="286" t="inlineStr">
        <is>
          <t>土</t>
        </is>
      </c>
      <c r="BP9" s="286" t="inlineStr">
        <is>
          <t>日</t>
        </is>
      </c>
      <c r="BQ9" s="285" t="inlineStr">
        <is>
          <t>月</t>
        </is>
      </c>
      <c r="BR9" s="285" t="inlineStr">
        <is>
          <t>火</t>
        </is>
      </c>
      <c r="BS9" s="285" t="inlineStr">
        <is>
          <t>水</t>
        </is>
      </c>
      <c r="BT9" s="285" t="inlineStr">
        <is>
          <t>木</t>
        </is>
      </c>
      <c r="BU9" s="285" t="inlineStr">
        <is>
          <t>金</t>
        </is>
      </c>
      <c r="BV9" s="286" t="inlineStr">
        <is>
          <t>土</t>
        </is>
      </c>
      <c r="BW9" s="286" t="inlineStr">
        <is>
          <t>日</t>
        </is>
      </c>
      <c r="BX9" s="285" t="inlineStr">
        <is>
          <t>月</t>
        </is>
      </c>
      <c r="BY9" s="285" t="inlineStr">
        <is>
          <t>火</t>
        </is>
      </c>
      <c r="BZ9" s="285" t="inlineStr">
        <is>
          <t>水</t>
        </is>
      </c>
      <c r="CA9" s="285" t="inlineStr">
        <is>
          <t>木</t>
        </is>
      </c>
      <c r="CB9" s="285" t="inlineStr">
        <is>
          <t>金</t>
        </is>
      </c>
      <c r="CC9" s="286" t="inlineStr">
        <is>
          <t>土</t>
        </is>
      </c>
      <c r="CD9" s="286" t="inlineStr">
        <is>
          <t>日</t>
        </is>
      </c>
      <c r="CE9" s="285" t="inlineStr">
        <is>
          <t>月</t>
        </is>
      </c>
      <c r="CF9" s="285" t="inlineStr">
        <is>
          <t>火</t>
        </is>
      </c>
      <c r="CG9" s="285" t="inlineStr">
        <is>
          <t>水</t>
        </is>
      </c>
      <c r="CH9" s="285" t="inlineStr">
        <is>
          <t>木</t>
        </is>
      </c>
      <c r="CI9" s="285" t="inlineStr">
        <is>
          <t>金</t>
        </is>
      </c>
      <c r="CJ9" s="286" t="inlineStr">
        <is>
          <t>土</t>
        </is>
      </c>
      <c r="CK9" s="286" t="inlineStr">
        <is>
          <t>日</t>
        </is>
      </c>
      <c r="CL9" s="285" t="inlineStr">
        <is>
          <t>月</t>
        </is>
      </c>
      <c r="CM9" s="285" t="inlineStr">
        <is>
          <t>火</t>
        </is>
      </c>
      <c r="CN9" s="285" t="inlineStr">
        <is>
          <t>水</t>
        </is>
      </c>
      <c r="CO9" s="285" t="inlineStr">
        <is>
          <t>木</t>
        </is>
      </c>
      <c r="CP9" s="285" t="inlineStr">
        <is>
          <t>金</t>
        </is>
      </c>
      <c r="CQ9" s="286" t="inlineStr">
        <is>
          <t>土</t>
        </is>
      </c>
      <c r="CR9" s="286" t="inlineStr">
        <is>
          <t>日</t>
        </is>
      </c>
      <c r="CS9" s="285" t="inlineStr">
        <is>
          <t>月</t>
        </is>
      </c>
      <c r="CT9" s="285" t="inlineStr">
        <is>
          <t>火</t>
        </is>
      </c>
      <c r="CU9" s="285" t="inlineStr">
        <is>
          <t>水</t>
        </is>
      </c>
      <c r="CV9" s="285" t="inlineStr">
        <is>
          <t>木</t>
        </is>
      </c>
      <c r="CW9" s="285" t="inlineStr">
        <is>
          <t>金</t>
        </is>
      </c>
      <c r="CX9" s="286" t="inlineStr">
        <is>
          <t>土</t>
        </is>
      </c>
      <c r="CY9" s="286" t="inlineStr">
        <is>
          <t>日</t>
        </is>
      </c>
      <c r="CZ9" s="285" t="inlineStr">
        <is>
          <t>月</t>
        </is>
      </c>
      <c r="DA9" s="285" t="inlineStr">
        <is>
          <t>火</t>
        </is>
      </c>
      <c r="DB9" s="285" t="inlineStr">
        <is>
          <t>水</t>
        </is>
      </c>
      <c r="DC9" s="285" t="inlineStr">
        <is>
          <t>木</t>
        </is>
      </c>
      <c r="DD9" s="285" t="inlineStr">
        <is>
          <t>金</t>
        </is>
      </c>
      <c r="DE9" s="286" t="inlineStr">
        <is>
          <t>土</t>
        </is>
      </c>
      <c r="DF9" s="286" t="inlineStr">
        <is>
          <t>日</t>
        </is>
      </c>
      <c r="DG9" s="285" t="inlineStr">
        <is>
          <t>月</t>
        </is>
      </c>
      <c r="DH9" s="285" t="inlineStr">
        <is>
          <t>火</t>
        </is>
      </c>
      <c r="DI9" s="285" t="inlineStr">
        <is>
          <t>水</t>
        </is>
      </c>
      <c r="DJ9" s="285" t="inlineStr">
        <is>
          <t>木</t>
        </is>
      </c>
      <c r="DK9" s="285" t="inlineStr">
        <is>
          <t>金</t>
        </is>
      </c>
      <c r="DL9" s="286" t="inlineStr">
        <is>
          <t>土</t>
        </is>
      </c>
      <c r="DM9" s="286" t="inlineStr">
        <is>
          <t>日</t>
        </is>
      </c>
      <c r="DN9" s="285" t="inlineStr">
        <is>
          <t>月</t>
        </is>
      </c>
      <c r="DO9" s="285" t="inlineStr">
        <is>
          <t>火</t>
        </is>
      </c>
      <c r="DP9" s="285" t="inlineStr">
        <is>
          <t>水</t>
        </is>
      </c>
      <c r="DQ9" s="290" t="inlineStr">
        <is>
          <t>木</t>
        </is>
      </c>
    </row>
    <row r="10" ht="20" customHeight="1" s="236">
      <c r="A10" s="291" t="n">
        <v>1</v>
      </c>
      <c r="B10" s="292" t="inlineStr">
        <is>
          <t>全社情報整理</t>
        </is>
      </c>
      <c r="C10" s="293" t="inlineStr">
        <is>
          <t>情報整理</t>
        </is>
      </c>
      <c r="D10" s="294" t="n">
        <v>46274</v>
      </c>
      <c r="E10" s="294" t="n">
        <v>46285</v>
      </c>
      <c r="F10" s="295">
        <f>E10-D10+1</f>
        <v/>
      </c>
      <c r="G10" s="296" t="n">
        <v>0</v>
      </c>
      <c r="H10" s="297" t="n"/>
      <c r="I10" s="297" t="n"/>
      <c r="J10" s="297" t="n"/>
      <c r="K10" s="297" t="n"/>
      <c r="L10" s="297" t="n"/>
      <c r="M10" s="297" t="n"/>
      <c r="N10" s="297" t="n"/>
      <c r="O10" s="297" t="n"/>
      <c r="P10" s="297" t="n"/>
      <c r="Q10" s="297" t="n"/>
      <c r="R10" s="297" t="n"/>
      <c r="S10" s="297" t="n"/>
      <c r="T10" s="298" t="n"/>
      <c r="U10" s="298" t="n"/>
      <c r="V10" s="298" t="n"/>
      <c r="W10" s="298" t="n"/>
      <c r="X10" s="298" t="n"/>
      <c r="Y10" s="299" t="n"/>
      <c r="Z10" s="299" t="n"/>
      <c r="AA10" s="300" t="n"/>
      <c r="AB10" s="298" t="n"/>
      <c r="AC10" s="298" t="n"/>
      <c r="AD10" s="301" t="n"/>
      <c r="AE10" s="298" t="n"/>
      <c r="AF10" s="299" t="n"/>
      <c r="AG10" s="299" t="n"/>
      <c r="AH10" s="298" t="n"/>
      <c r="AI10" s="298" t="n"/>
      <c r="AJ10" s="298" t="n"/>
      <c r="AK10" s="298" t="n"/>
      <c r="AL10" s="298" t="n"/>
      <c r="AM10" s="299" t="n"/>
      <c r="AN10" s="299" t="n"/>
      <c r="AO10" s="298" t="n"/>
      <c r="AP10" s="298" t="n"/>
      <c r="AQ10" s="298" t="n"/>
      <c r="AR10" s="298" t="n"/>
      <c r="AS10" s="298" t="n"/>
      <c r="AT10" s="299" t="n"/>
      <c r="AU10" s="299" t="n"/>
      <c r="AV10" s="298" t="n"/>
      <c r="AW10" s="298" t="n"/>
      <c r="AX10" s="298" t="n"/>
      <c r="AY10" s="298" t="n"/>
      <c r="AZ10" s="298" t="n"/>
      <c r="BA10" s="299" t="n"/>
      <c r="BB10" s="299" t="n"/>
      <c r="BC10" s="298" t="n"/>
      <c r="BD10" s="298" t="n"/>
      <c r="BE10" s="298" t="n"/>
      <c r="BF10" s="298" t="n"/>
      <c r="BG10" s="298" t="n"/>
      <c r="BH10" s="302" t="n"/>
      <c r="BI10" s="299" t="n"/>
      <c r="BJ10" s="298" t="n"/>
      <c r="BK10" s="298" t="n"/>
      <c r="BL10" s="298" t="n"/>
      <c r="BM10" s="298" t="n"/>
      <c r="BN10" s="298" t="n"/>
      <c r="BO10" s="299" t="n"/>
      <c r="BP10" s="299" t="n"/>
      <c r="BQ10" s="298" t="n"/>
      <c r="BR10" s="298" t="n"/>
      <c r="BS10" s="298" t="n"/>
      <c r="BT10" s="298" t="n"/>
      <c r="BU10" s="298" t="n"/>
      <c r="BV10" s="299" t="n"/>
      <c r="BW10" s="299" t="n"/>
      <c r="BX10" s="298" t="n"/>
      <c r="BY10" s="298" t="n"/>
      <c r="BZ10" s="298" t="n"/>
      <c r="CA10" s="298" t="n"/>
      <c r="CB10" s="298" t="n"/>
      <c r="CC10" s="299" t="n"/>
      <c r="CD10" s="299" t="n"/>
      <c r="CE10" s="298" t="n"/>
      <c r="CF10" s="298" t="n"/>
      <c r="CG10" s="298" t="n"/>
      <c r="CH10" s="298" t="n"/>
      <c r="CI10" s="298" t="n"/>
      <c r="CJ10" s="299" t="n"/>
      <c r="CK10" s="299" t="n"/>
      <c r="CL10" s="298" t="n"/>
      <c r="CM10" s="298" t="n"/>
      <c r="CN10" s="298" t="n"/>
      <c r="CO10" s="298" t="n"/>
      <c r="CP10" s="298" t="n"/>
      <c r="CQ10" s="299" t="n"/>
      <c r="CR10" s="299" t="n"/>
      <c r="CS10" s="298" t="n"/>
      <c r="CT10" s="298" t="n"/>
      <c r="CU10" s="298" t="n"/>
      <c r="CV10" s="298" t="n"/>
      <c r="CW10" s="298" t="n"/>
      <c r="CX10" s="299" t="n"/>
      <c r="CY10" s="299" t="n"/>
      <c r="CZ10" s="298" t="n"/>
      <c r="DA10" s="298" t="n"/>
      <c r="DB10" s="298" t="n"/>
      <c r="DC10" s="298" t="n"/>
      <c r="DD10" s="298" t="n"/>
      <c r="DE10" s="299" t="n"/>
      <c r="DF10" s="299" t="n"/>
      <c r="DG10" s="298" t="n"/>
      <c r="DH10" s="298" t="n"/>
      <c r="DI10" s="298" t="n"/>
      <c r="DJ10" s="298" t="n"/>
      <c r="DK10" s="298" t="n"/>
      <c r="DL10" s="299" t="n"/>
      <c r="DM10" s="299" t="n"/>
      <c r="DN10" s="298" t="n"/>
      <c r="DO10" s="298" t="n"/>
      <c r="DP10" s="298" t="n"/>
      <c r="DQ10" s="303" t="n"/>
    </row>
    <row r="11" ht="20" customHeight="1" s="236">
      <c r="A11" s="291" t="n">
        <v>2</v>
      </c>
      <c r="B11" s="292" t="inlineStr">
        <is>
          <t>会社別工数確認</t>
        </is>
      </c>
      <c r="C11" s="293" t="inlineStr">
        <is>
          <t>情報整理</t>
        </is>
      </c>
      <c r="D11" s="294" t="n">
        <v>46274</v>
      </c>
      <c r="E11" s="294" t="n">
        <v>46387</v>
      </c>
      <c r="F11" s="295">
        <f>E11-D11+1</f>
        <v/>
      </c>
      <c r="G11" s="296" t="n">
        <v>0</v>
      </c>
      <c r="H11" s="297" t="n"/>
      <c r="I11" s="297" t="n"/>
      <c r="J11" s="297" t="n"/>
      <c r="K11" s="297" t="n"/>
      <c r="L11" s="297" t="n"/>
      <c r="M11" s="297" t="n"/>
      <c r="N11" s="297" t="n"/>
      <c r="O11" s="297" t="n"/>
      <c r="P11" s="297" t="n"/>
      <c r="Q11" s="297" t="n"/>
      <c r="R11" s="297" t="n"/>
      <c r="S11" s="297" t="n"/>
      <c r="T11" s="297" t="n"/>
      <c r="U11" s="297" t="n"/>
      <c r="V11" s="297" t="n"/>
      <c r="W11" s="297" t="n"/>
      <c r="X11" s="297" t="n"/>
      <c r="Y11" s="297" t="n"/>
      <c r="Z11" s="297" t="n"/>
      <c r="AA11" s="304" t="n"/>
      <c r="AB11" s="297" t="n"/>
      <c r="AC11" s="297" t="n"/>
      <c r="AD11" s="305" t="n"/>
      <c r="AE11" s="297" t="n"/>
      <c r="AF11" s="297" t="n"/>
      <c r="AG11" s="297" t="n"/>
      <c r="AH11" s="297" t="n"/>
      <c r="AI11" s="297" t="n"/>
      <c r="AJ11" s="297" t="n"/>
      <c r="AK11" s="297" t="n"/>
      <c r="AL11" s="297" t="n"/>
      <c r="AM11" s="297" t="n"/>
      <c r="AN11" s="297" t="n"/>
      <c r="AO11" s="297" t="n"/>
      <c r="AP11" s="297" t="n"/>
      <c r="AQ11" s="297" t="n"/>
      <c r="AR11" s="297" t="n"/>
      <c r="AS11" s="297" t="n"/>
      <c r="AT11" s="297" t="n"/>
      <c r="AU11" s="297" t="n"/>
      <c r="AV11" s="297" t="n"/>
      <c r="AW11" s="297" t="n"/>
      <c r="AX11" s="297" t="n"/>
      <c r="AY11" s="297" t="n"/>
      <c r="AZ11" s="297" t="n"/>
      <c r="BA11" s="297" t="n"/>
      <c r="BB11" s="297" t="n"/>
      <c r="BC11" s="297" t="n"/>
      <c r="BD11" s="297" t="n"/>
      <c r="BE11" s="297" t="n"/>
      <c r="BF11" s="297" t="n"/>
      <c r="BG11" s="297" t="n"/>
      <c r="BH11" s="306" t="n"/>
      <c r="BI11" s="297" t="n"/>
      <c r="BJ11" s="297" t="n"/>
      <c r="BK11" s="297" t="n"/>
      <c r="BL11" s="297" t="n"/>
      <c r="BM11" s="297" t="n"/>
      <c r="BN11" s="297" t="n"/>
      <c r="BO11" s="297" t="n"/>
      <c r="BP11" s="297" t="n"/>
      <c r="BQ11" s="297" t="n"/>
      <c r="BR11" s="297" t="n"/>
      <c r="BS11" s="297" t="n"/>
      <c r="BT11" s="297" t="n"/>
      <c r="BU11" s="297" t="n"/>
      <c r="BV11" s="297" t="n"/>
      <c r="BW11" s="297" t="n"/>
      <c r="BX11" s="297" t="n"/>
      <c r="BY11" s="297" t="n"/>
      <c r="BZ11" s="297" t="n"/>
      <c r="CA11" s="297" t="n"/>
      <c r="CB11" s="297" t="n"/>
      <c r="CC11" s="297" t="n"/>
      <c r="CD11" s="297" t="n"/>
      <c r="CE11" s="297" t="n"/>
      <c r="CF11" s="297" t="n"/>
      <c r="CG11" s="297" t="n"/>
      <c r="CH11" s="297" t="n"/>
      <c r="CI11" s="297" t="n"/>
      <c r="CJ11" s="297" t="n"/>
      <c r="CK11" s="297" t="n"/>
      <c r="CL11" s="297" t="n"/>
      <c r="CM11" s="297" t="n"/>
      <c r="CN11" s="297" t="n"/>
      <c r="CO11" s="297" t="n"/>
      <c r="CP11" s="297" t="n"/>
      <c r="CQ11" s="297" t="n"/>
      <c r="CR11" s="297" t="n"/>
      <c r="CS11" s="297" t="n"/>
      <c r="CT11" s="297" t="n"/>
      <c r="CU11" s="297" t="n"/>
      <c r="CV11" s="297" t="n"/>
      <c r="CW11" s="297" t="n"/>
      <c r="CX11" s="297" t="n"/>
      <c r="CY11" s="297" t="n"/>
      <c r="CZ11" s="297" t="n"/>
      <c r="DA11" s="297" t="n"/>
      <c r="DB11" s="297" t="n"/>
      <c r="DC11" s="297" t="n"/>
      <c r="DD11" s="297" t="n"/>
      <c r="DE11" s="297" t="n"/>
      <c r="DF11" s="297" t="n"/>
      <c r="DG11" s="297" t="n"/>
      <c r="DH11" s="297" t="n"/>
      <c r="DI11" s="297" t="n"/>
      <c r="DJ11" s="297" t="n"/>
      <c r="DK11" s="297" t="n"/>
      <c r="DL11" s="297" t="n"/>
      <c r="DM11" s="297" t="n"/>
      <c r="DN11" s="297" t="n"/>
      <c r="DO11" s="297" t="n"/>
      <c r="DP11" s="297" t="n"/>
      <c r="DQ11" s="307" t="n"/>
    </row>
    <row r="12" ht="20" customHeight="1" s="236">
      <c r="A12" s="291" t="n">
        <v>3</v>
      </c>
      <c r="B12" s="292" t="inlineStr">
        <is>
          <t>難易度分類</t>
        </is>
      </c>
      <c r="C12" s="293" t="inlineStr">
        <is>
          <t>情報整理</t>
        </is>
      </c>
      <c r="D12" s="294" t="n">
        <v>46274</v>
      </c>
      <c r="E12" s="294" t="n">
        <v>46292</v>
      </c>
      <c r="F12" s="295">
        <f>E12-D12+1</f>
        <v/>
      </c>
      <c r="G12" s="296" t="n">
        <v>0</v>
      </c>
      <c r="H12" s="297" t="n"/>
      <c r="I12" s="297" t="n"/>
      <c r="J12" s="297" t="n"/>
      <c r="K12" s="297" t="n"/>
      <c r="L12" s="297" t="n"/>
      <c r="M12" s="297" t="n"/>
      <c r="N12" s="297" t="n"/>
      <c r="O12" s="297" t="n"/>
      <c r="P12" s="297" t="n"/>
      <c r="Q12" s="297" t="n"/>
      <c r="R12" s="297" t="n"/>
      <c r="S12" s="297" t="n"/>
      <c r="T12" s="297" t="n"/>
      <c r="U12" s="297" t="n"/>
      <c r="V12" s="297" t="n"/>
      <c r="W12" s="297" t="n"/>
      <c r="X12" s="297" t="n"/>
      <c r="Y12" s="297" t="n"/>
      <c r="Z12" s="297" t="n"/>
      <c r="AA12" s="300" t="n"/>
      <c r="AB12" s="298" t="n"/>
      <c r="AC12" s="298" t="n"/>
      <c r="AD12" s="301" t="n"/>
      <c r="AE12" s="298" t="n"/>
      <c r="AF12" s="299" t="n"/>
      <c r="AG12" s="299" t="n"/>
      <c r="AH12" s="298" t="n"/>
      <c r="AI12" s="298" t="n"/>
      <c r="AJ12" s="298" t="n"/>
      <c r="AK12" s="298" t="n"/>
      <c r="AL12" s="298" t="n"/>
      <c r="AM12" s="299" t="n"/>
      <c r="AN12" s="299" t="n"/>
      <c r="AO12" s="298" t="n"/>
      <c r="AP12" s="298" t="n"/>
      <c r="AQ12" s="298" t="n"/>
      <c r="AR12" s="298" t="n"/>
      <c r="AS12" s="298" t="n"/>
      <c r="AT12" s="299" t="n"/>
      <c r="AU12" s="299" t="n"/>
      <c r="AV12" s="298" t="n"/>
      <c r="AW12" s="298" t="n"/>
      <c r="AX12" s="298" t="n"/>
      <c r="AY12" s="298" t="n"/>
      <c r="AZ12" s="298" t="n"/>
      <c r="BA12" s="299" t="n"/>
      <c r="BB12" s="299" t="n"/>
      <c r="BC12" s="298" t="n"/>
      <c r="BD12" s="298" t="n"/>
      <c r="BE12" s="298" t="n"/>
      <c r="BF12" s="298" t="n"/>
      <c r="BG12" s="298" t="n"/>
      <c r="BH12" s="302" t="n"/>
      <c r="BI12" s="299" t="n"/>
      <c r="BJ12" s="298" t="n"/>
      <c r="BK12" s="298" t="n"/>
      <c r="BL12" s="298" t="n"/>
      <c r="BM12" s="298" t="n"/>
      <c r="BN12" s="298" t="n"/>
      <c r="BO12" s="299" t="n"/>
      <c r="BP12" s="299" t="n"/>
      <c r="BQ12" s="298" t="n"/>
      <c r="BR12" s="298" t="n"/>
      <c r="BS12" s="298" t="n"/>
      <c r="BT12" s="298" t="n"/>
      <c r="BU12" s="298" t="n"/>
      <c r="BV12" s="299" t="n"/>
      <c r="BW12" s="299" t="n"/>
      <c r="BX12" s="298" t="n"/>
      <c r="BY12" s="298" t="n"/>
      <c r="BZ12" s="298" t="n"/>
      <c r="CA12" s="298" t="n"/>
      <c r="CB12" s="298" t="n"/>
      <c r="CC12" s="299" t="n"/>
      <c r="CD12" s="299" t="n"/>
      <c r="CE12" s="298" t="n"/>
      <c r="CF12" s="298" t="n"/>
      <c r="CG12" s="298" t="n"/>
      <c r="CH12" s="298" t="n"/>
      <c r="CI12" s="298" t="n"/>
      <c r="CJ12" s="299" t="n"/>
      <c r="CK12" s="299" t="n"/>
      <c r="CL12" s="298" t="n"/>
      <c r="CM12" s="298" t="n"/>
      <c r="CN12" s="298" t="n"/>
      <c r="CO12" s="298" t="n"/>
      <c r="CP12" s="298" t="n"/>
      <c r="CQ12" s="299" t="n"/>
      <c r="CR12" s="299" t="n"/>
      <c r="CS12" s="298" t="n"/>
      <c r="CT12" s="298" t="n"/>
      <c r="CU12" s="298" t="n"/>
      <c r="CV12" s="298" t="n"/>
      <c r="CW12" s="298" t="n"/>
      <c r="CX12" s="299" t="n"/>
      <c r="CY12" s="299" t="n"/>
      <c r="CZ12" s="298" t="n"/>
      <c r="DA12" s="298" t="n"/>
      <c r="DB12" s="298" t="n"/>
      <c r="DC12" s="298" t="n"/>
      <c r="DD12" s="298" t="n"/>
      <c r="DE12" s="299" t="n"/>
      <c r="DF12" s="299" t="n"/>
      <c r="DG12" s="298" t="n"/>
      <c r="DH12" s="298" t="n"/>
      <c r="DI12" s="298" t="n"/>
      <c r="DJ12" s="298" t="n"/>
      <c r="DK12" s="298" t="n"/>
      <c r="DL12" s="299" t="n"/>
      <c r="DM12" s="299" t="n"/>
      <c r="DN12" s="298" t="n"/>
      <c r="DO12" s="298" t="n"/>
      <c r="DP12" s="298" t="n"/>
      <c r="DQ12" s="303" t="n"/>
    </row>
    <row r="13" ht="20" customHeight="1" s="236">
      <c r="A13" s="291" t="n">
        <v>4</v>
      </c>
      <c r="B13" s="292" t="inlineStr">
        <is>
          <t>優先順位決定</t>
        </is>
      </c>
      <c r="C13" s="293" t="inlineStr">
        <is>
          <t>情報整理</t>
        </is>
      </c>
      <c r="D13" s="294" t="n">
        <v>46274</v>
      </c>
      <c r="E13" s="294" t="n">
        <v>46278</v>
      </c>
      <c r="F13" s="295">
        <f>E13-D13+1</f>
        <v/>
      </c>
      <c r="G13" s="296" t="n">
        <v>0</v>
      </c>
      <c r="H13" s="297" t="n"/>
      <c r="I13" s="297" t="n"/>
      <c r="J13" s="297" t="n"/>
      <c r="K13" s="297" t="n"/>
      <c r="L13" s="297" t="n"/>
      <c r="M13" s="298" t="n"/>
      <c r="N13" s="298" t="n"/>
      <c r="O13" s="298" t="n"/>
      <c r="P13" s="298" t="n"/>
      <c r="Q13" s="298" t="n"/>
      <c r="R13" s="299" t="n"/>
      <c r="S13" s="299" t="n"/>
      <c r="T13" s="298" t="n"/>
      <c r="U13" s="298" t="n"/>
      <c r="V13" s="298" t="n"/>
      <c r="W13" s="298" t="n"/>
      <c r="X13" s="298" t="n"/>
      <c r="Y13" s="299" t="n"/>
      <c r="Z13" s="299" t="n"/>
      <c r="AA13" s="300" t="n"/>
      <c r="AB13" s="298" t="n"/>
      <c r="AC13" s="298" t="n"/>
      <c r="AD13" s="301" t="n"/>
      <c r="AE13" s="298" t="n"/>
      <c r="AF13" s="299" t="n"/>
      <c r="AG13" s="299" t="n"/>
      <c r="AH13" s="298" t="n"/>
      <c r="AI13" s="298" t="n"/>
      <c r="AJ13" s="298" t="n"/>
      <c r="AK13" s="298" t="n"/>
      <c r="AL13" s="298" t="n"/>
      <c r="AM13" s="299" t="n"/>
      <c r="AN13" s="299" t="n"/>
      <c r="AO13" s="298" t="n"/>
      <c r="AP13" s="298" t="n"/>
      <c r="AQ13" s="298" t="n"/>
      <c r="AR13" s="298" t="n"/>
      <c r="AS13" s="298" t="n"/>
      <c r="AT13" s="299" t="n"/>
      <c r="AU13" s="299" t="n"/>
      <c r="AV13" s="298" t="n"/>
      <c r="AW13" s="298" t="n"/>
      <c r="AX13" s="298" t="n"/>
      <c r="AY13" s="298" t="n"/>
      <c r="AZ13" s="298" t="n"/>
      <c r="BA13" s="299" t="n"/>
      <c r="BB13" s="299" t="n"/>
      <c r="BC13" s="298" t="n"/>
      <c r="BD13" s="298" t="n"/>
      <c r="BE13" s="298" t="n"/>
      <c r="BF13" s="298" t="n"/>
      <c r="BG13" s="298" t="n"/>
      <c r="BH13" s="302" t="n"/>
      <c r="BI13" s="299" t="n"/>
      <c r="BJ13" s="298" t="n"/>
      <c r="BK13" s="298" t="n"/>
      <c r="BL13" s="298" t="n"/>
      <c r="BM13" s="298" t="n"/>
      <c r="BN13" s="298" t="n"/>
      <c r="BO13" s="299" t="n"/>
      <c r="BP13" s="299" t="n"/>
      <c r="BQ13" s="298" t="n"/>
      <c r="BR13" s="298" t="n"/>
      <c r="BS13" s="298" t="n"/>
      <c r="BT13" s="298" t="n"/>
      <c r="BU13" s="298" t="n"/>
      <c r="BV13" s="299" t="n"/>
      <c r="BW13" s="299" t="n"/>
      <c r="BX13" s="298" t="n"/>
      <c r="BY13" s="298" t="n"/>
      <c r="BZ13" s="298" t="n"/>
      <c r="CA13" s="298" t="n"/>
      <c r="CB13" s="298" t="n"/>
      <c r="CC13" s="299" t="n"/>
      <c r="CD13" s="299" t="n"/>
      <c r="CE13" s="298" t="n"/>
      <c r="CF13" s="298" t="n"/>
      <c r="CG13" s="298" t="n"/>
      <c r="CH13" s="298" t="n"/>
      <c r="CI13" s="298" t="n"/>
      <c r="CJ13" s="299" t="n"/>
      <c r="CK13" s="299" t="n"/>
      <c r="CL13" s="298" t="n"/>
      <c r="CM13" s="298" t="n"/>
      <c r="CN13" s="298" t="n"/>
      <c r="CO13" s="298" t="n"/>
      <c r="CP13" s="298" t="n"/>
      <c r="CQ13" s="299" t="n"/>
      <c r="CR13" s="299" t="n"/>
      <c r="CS13" s="298" t="n"/>
      <c r="CT13" s="298" t="n"/>
      <c r="CU13" s="298" t="n"/>
      <c r="CV13" s="298" t="n"/>
      <c r="CW13" s="298" t="n"/>
      <c r="CX13" s="299" t="n"/>
      <c r="CY13" s="299" t="n"/>
      <c r="CZ13" s="298" t="n"/>
      <c r="DA13" s="298" t="n"/>
      <c r="DB13" s="298" t="n"/>
      <c r="DC13" s="298" t="n"/>
      <c r="DD13" s="298" t="n"/>
      <c r="DE13" s="299" t="n"/>
      <c r="DF13" s="299" t="n"/>
      <c r="DG13" s="298" t="n"/>
      <c r="DH13" s="298" t="n"/>
      <c r="DI13" s="298" t="n"/>
      <c r="DJ13" s="298" t="n"/>
      <c r="DK13" s="298" t="n"/>
      <c r="DL13" s="299" t="n"/>
      <c r="DM13" s="299" t="n"/>
      <c r="DN13" s="298" t="n"/>
      <c r="DO13" s="298" t="n"/>
      <c r="DP13" s="298" t="n"/>
      <c r="DQ13" s="303" t="n"/>
    </row>
    <row r="14" ht="20" customHeight="1" s="236">
      <c r="A14" s="291" t="n">
        <v>5</v>
      </c>
      <c r="B14" s="292" t="inlineStr">
        <is>
          <t>先行企業選定</t>
        </is>
      </c>
      <c r="C14" s="293" t="inlineStr">
        <is>
          <t>情報整理</t>
        </is>
      </c>
      <c r="D14" s="294" t="n">
        <v>46274</v>
      </c>
      <c r="E14" s="294" t="n">
        <v>46278</v>
      </c>
      <c r="F14" s="295">
        <f>E14-D14+1</f>
        <v/>
      </c>
      <c r="G14" s="296" t="n">
        <v>0</v>
      </c>
      <c r="H14" s="297" t="n"/>
      <c r="I14" s="297" t="n"/>
      <c r="J14" s="297" t="n"/>
      <c r="K14" s="297" t="n"/>
      <c r="L14" s="297" t="n"/>
      <c r="M14" s="298" t="n"/>
      <c r="N14" s="298" t="n"/>
      <c r="O14" s="298" t="n"/>
      <c r="P14" s="298" t="n"/>
      <c r="Q14" s="298" t="n"/>
      <c r="R14" s="299" t="n"/>
      <c r="S14" s="299" t="n"/>
      <c r="T14" s="298" t="n"/>
      <c r="U14" s="298" t="n"/>
      <c r="V14" s="298" t="n"/>
      <c r="W14" s="298" t="n"/>
      <c r="X14" s="298" t="n"/>
      <c r="Y14" s="299" t="n"/>
      <c r="Z14" s="299" t="n"/>
      <c r="AA14" s="300" t="n"/>
      <c r="AB14" s="298" t="n"/>
      <c r="AC14" s="298" t="n"/>
      <c r="AD14" s="301" t="n"/>
      <c r="AE14" s="298" t="n"/>
      <c r="AF14" s="299" t="n"/>
      <c r="AG14" s="299" t="n"/>
      <c r="AH14" s="298" t="n"/>
      <c r="AI14" s="298" t="n"/>
      <c r="AJ14" s="298" t="n"/>
      <c r="AK14" s="298" t="n"/>
      <c r="AL14" s="298" t="n"/>
      <c r="AM14" s="299" t="n"/>
      <c r="AN14" s="299" t="n"/>
      <c r="AO14" s="298" t="n"/>
      <c r="AP14" s="298" t="n"/>
      <c r="AQ14" s="298" t="n"/>
      <c r="AR14" s="298" t="n"/>
      <c r="AS14" s="298" t="n"/>
      <c r="AT14" s="299" t="n"/>
      <c r="AU14" s="299" t="n"/>
      <c r="AV14" s="298" t="n"/>
      <c r="AW14" s="298" t="n"/>
      <c r="AX14" s="298" t="n"/>
      <c r="AY14" s="298" t="n"/>
      <c r="AZ14" s="298" t="n"/>
      <c r="BA14" s="299" t="n"/>
      <c r="BB14" s="299" t="n"/>
      <c r="BC14" s="298" t="n"/>
      <c r="BD14" s="298" t="n"/>
      <c r="BE14" s="298" t="n"/>
      <c r="BF14" s="298" t="n"/>
      <c r="BG14" s="298" t="n"/>
      <c r="BH14" s="302" t="n"/>
      <c r="BI14" s="299" t="n"/>
      <c r="BJ14" s="298" t="n"/>
      <c r="BK14" s="298" t="n"/>
      <c r="BL14" s="298" t="n"/>
      <c r="BM14" s="298" t="n"/>
      <c r="BN14" s="298" t="n"/>
      <c r="BO14" s="299" t="n"/>
      <c r="BP14" s="299" t="n"/>
      <c r="BQ14" s="298" t="n"/>
      <c r="BR14" s="298" t="n"/>
      <c r="BS14" s="298" t="n"/>
      <c r="BT14" s="298" t="n"/>
      <c r="BU14" s="298" t="n"/>
      <c r="BV14" s="299" t="n"/>
      <c r="BW14" s="299" t="n"/>
      <c r="BX14" s="298" t="n"/>
      <c r="BY14" s="298" t="n"/>
      <c r="BZ14" s="298" t="n"/>
      <c r="CA14" s="298" t="n"/>
      <c r="CB14" s="298" t="n"/>
      <c r="CC14" s="299" t="n"/>
      <c r="CD14" s="299" t="n"/>
      <c r="CE14" s="298" t="n"/>
      <c r="CF14" s="298" t="n"/>
      <c r="CG14" s="298" t="n"/>
      <c r="CH14" s="298" t="n"/>
      <c r="CI14" s="298" t="n"/>
      <c r="CJ14" s="299" t="n"/>
      <c r="CK14" s="299" t="n"/>
      <c r="CL14" s="298" t="n"/>
      <c r="CM14" s="298" t="n"/>
      <c r="CN14" s="298" t="n"/>
      <c r="CO14" s="298" t="n"/>
      <c r="CP14" s="298" t="n"/>
      <c r="CQ14" s="299" t="n"/>
      <c r="CR14" s="299" t="n"/>
      <c r="CS14" s="298" t="n"/>
      <c r="CT14" s="298" t="n"/>
      <c r="CU14" s="298" t="n"/>
      <c r="CV14" s="298" t="n"/>
      <c r="CW14" s="298" t="n"/>
      <c r="CX14" s="299" t="n"/>
      <c r="CY14" s="299" t="n"/>
      <c r="CZ14" s="298" t="n"/>
      <c r="DA14" s="298" t="n"/>
      <c r="DB14" s="298" t="n"/>
      <c r="DC14" s="298" t="n"/>
      <c r="DD14" s="298" t="n"/>
      <c r="DE14" s="299" t="n"/>
      <c r="DF14" s="299" t="n"/>
      <c r="DG14" s="298" t="n"/>
      <c r="DH14" s="298" t="n"/>
      <c r="DI14" s="298" t="n"/>
      <c r="DJ14" s="298" t="n"/>
      <c r="DK14" s="298" t="n"/>
      <c r="DL14" s="299" t="n"/>
      <c r="DM14" s="299" t="n"/>
      <c r="DN14" s="298" t="n"/>
      <c r="DO14" s="298" t="n"/>
      <c r="DP14" s="298" t="n"/>
      <c r="DQ14" s="303" t="n"/>
    </row>
    <row r="15" ht="20" customHeight="1" s="236">
      <c r="A15" s="291" t="n">
        <v>6</v>
      </c>
      <c r="B15" s="292" t="inlineStr">
        <is>
          <t>先行企業引継ぎ</t>
        </is>
      </c>
      <c r="C15" s="308" t="inlineStr">
        <is>
          <t>引継ぎ</t>
        </is>
      </c>
      <c r="D15" s="294" t="n">
        <v>46279</v>
      </c>
      <c r="E15" s="294" t="n">
        <v>46292</v>
      </c>
      <c r="F15" s="295">
        <f>E15-D15+1</f>
        <v/>
      </c>
      <c r="G15" s="296" t="n">
        <v>0</v>
      </c>
      <c r="H15" s="298" t="n"/>
      <c r="I15" s="298" t="n"/>
      <c r="J15" s="298" t="n"/>
      <c r="K15" s="299" t="n"/>
      <c r="L15" s="299" t="n"/>
      <c r="M15" s="309" t="n"/>
      <c r="N15" s="309" t="n"/>
      <c r="O15" s="309" t="n"/>
      <c r="P15" s="309" t="n"/>
      <c r="Q15" s="309" t="n"/>
      <c r="R15" s="309" t="n"/>
      <c r="S15" s="309" t="n"/>
      <c r="T15" s="309" t="n"/>
      <c r="U15" s="309" t="n"/>
      <c r="V15" s="309" t="n"/>
      <c r="W15" s="309" t="n"/>
      <c r="X15" s="309" t="n"/>
      <c r="Y15" s="309" t="n"/>
      <c r="Z15" s="309" t="n"/>
      <c r="AA15" s="300" t="n"/>
      <c r="AB15" s="298" t="n"/>
      <c r="AC15" s="298" t="n"/>
      <c r="AD15" s="301" t="n"/>
      <c r="AE15" s="298" t="n"/>
      <c r="AF15" s="299" t="n"/>
      <c r="AG15" s="299" t="n"/>
      <c r="AH15" s="298" t="n"/>
      <c r="AI15" s="298" t="n"/>
      <c r="AJ15" s="298" t="n"/>
      <c r="AK15" s="298" t="n"/>
      <c r="AL15" s="298" t="n"/>
      <c r="AM15" s="299" t="n"/>
      <c r="AN15" s="299" t="n"/>
      <c r="AO15" s="298" t="n"/>
      <c r="AP15" s="298" t="n"/>
      <c r="AQ15" s="298" t="n"/>
      <c r="AR15" s="298" t="n"/>
      <c r="AS15" s="298" t="n"/>
      <c r="AT15" s="299" t="n"/>
      <c r="AU15" s="299" t="n"/>
      <c r="AV15" s="298" t="n"/>
      <c r="AW15" s="298" t="n"/>
      <c r="AX15" s="298" t="n"/>
      <c r="AY15" s="298" t="n"/>
      <c r="AZ15" s="298" t="n"/>
      <c r="BA15" s="299" t="n"/>
      <c r="BB15" s="299" t="n"/>
      <c r="BC15" s="298" t="n"/>
      <c r="BD15" s="298" t="n"/>
      <c r="BE15" s="298" t="n"/>
      <c r="BF15" s="298" t="n"/>
      <c r="BG15" s="298" t="n"/>
      <c r="BH15" s="302" t="n"/>
      <c r="BI15" s="299" t="n"/>
      <c r="BJ15" s="298" t="n"/>
      <c r="BK15" s="298" t="n"/>
      <c r="BL15" s="298" t="n"/>
      <c r="BM15" s="298" t="n"/>
      <c r="BN15" s="298" t="n"/>
      <c r="BO15" s="299" t="n"/>
      <c r="BP15" s="299" t="n"/>
      <c r="BQ15" s="298" t="n"/>
      <c r="BR15" s="298" t="n"/>
      <c r="BS15" s="298" t="n"/>
      <c r="BT15" s="298" t="n"/>
      <c r="BU15" s="298" t="n"/>
      <c r="BV15" s="299" t="n"/>
      <c r="BW15" s="299" t="n"/>
      <c r="BX15" s="298" t="n"/>
      <c r="BY15" s="298" t="n"/>
      <c r="BZ15" s="298" t="n"/>
      <c r="CA15" s="298" t="n"/>
      <c r="CB15" s="298" t="n"/>
      <c r="CC15" s="299" t="n"/>
      <c r="CD15" s="299" t="n"/>
      <c r="CE15" s="298" t="n"/>
      <c r="CF15" s="298" t="n"/>
      <c r="CG15" s="298" t="n"/>
      <c r="CH15" s="298" t="n"/>
      <c r="CI15" s="298" t="n"/>
      <c r="CJ15" s="299" t="n"/>
      <c r="CK15" s="299" t="n"/>
      <c r="CL15" s="298" t="n"/>
      <c r="CM15" s="298" t="n"/>
      <c r="CN15" s="298" t="n"/>
      <c r="CO15" s="298" t="n"/>
      <c r="CP15" s="298" t="n"/>
      <c r="CQ15" s="299" t="n"/>
      <c r="CR15" s="299" t="n"/>
      <c r="CS15" s="298" t="n"/>
      <c r="CT15" s="298" t="n"/>
      <c r="CU15" s="298" t="n"/>
      <c r="CV15" s="298" t="n"/>
      <c r="CW15" s="298" t="n"/>
      <c r="CX15" s="299" t="n"/>
      <c r="CY15" s="299" t="n"/>
      <c r="CZ15" s="298" t="n"/>
      <c r="DA15" s="298" t="n"/>
      <c r="DB15" s="298" t="n"/>
      <c r="DC15" s="298" t="n"/>
      <c r="DD15" s="298" t="n"/>
      <c r="DE15" s="299" t="n"/>
      <c r="DF15" s="299" t="n"/>
      <c r="DG15" s="298" t="n"/>
      <c r="DH15" s="298" t="n"/>
      <c r="DI15" s="298" t="n"/>
      <c r="DJ15" s="298" t="n"/>
      <c r="DK15" s="298" t="n"/>
      <c r="DL15" s="299" t="n"/>
      <c r="DM15" s="299" t="n"/>
      <c r="DN15" s="298" t="n"/>
      <c r="DO15" s="298" t="n"/>
      <c r="DP15" s="298" t="n"/>
      <c r="DQ15" s="303" t="n"/>
    </row>
    <row r="16" ht="20" customHeight="1" s="236">
      <c r="A16" s="291" t="n">
        <v>7</v>
      </c>
      <c r="B16" s="292" t="inlineStr">
        <is>
          <t>テスト計算</t>
        </is>
      </c>
      <c r="C16" s="310" t="inlineStr">
        <is>
          <t>テスト</t>
        </is>
      </c>
      <c r="D16" s="294" t="n">
        <v>46282</v>
      </c>
      <c r="E16" s="294" t="n">
        <v>46299</v>
      </c>
      <c r="F16" s="295">
        <f>E16-D16+1</f>
        <v/>
      </c>
      <c r="G16" s="296" t="n">
        <v>0</v>
      </c>
      <c r="H16" s="298" t="n"/>
      <c r="I16" s="298" t="n"/>
      <c r="J16" s="298" t="n"/>
      <c r="K16" s="299" t="n"/>
      <c r="L16" s="299" t="n"/>
      <c r="M16" s="298" t="n"/>
      <c r="N16" s="298" t="n"/>
      <c r="O16" s="298" t="n"/>
      <c r="P16" s="311" t="n"/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  <c r="AA16" s="312" t="n"/>
      <c r="AB16" s="311" t="n"/>
      <c r="AC16" s="311" t="n"/>
      <c r="AD16" s="313" t="n"/>
      <c r="AE16" s="311" t="n"/>
      <c r="AF16" s="311" t="n"/>
      <c r="AG16" s="311" t="n"/>
      <c r="AH16" s="298" t="n"/>
      <c r="AI16" s="298" t="n"/>
      <c r="AJ16" s="298" t="n"/>
      <c r="AK16" s="298" t="n"/>
      <c r="AL16" s="298" t="n"/>
      <c r="AM16" s="299" t="n"/>
      <c r="AN16" s="299" t="n"/>
      <c r="AO16" s="298" t="n"/>
      <c r="AP16" s="298" t="n"/>
      <c r="AQ16" s="298" t="n"/>
      <c r="AR16" s="298" t="n"/>
      <c r="AS16" s="298" t="n"/>
      <c r="AT16" s="299" t="n"/>
      <c r="AU16" s="299" t="n"/>
      <c r="AV16" s="298" t="n"/>
      <c r="AW16" s="298" t="n"/>
      <c r="AX16" s="298" t="n"/>
      <c r="AY16" s="298" t="n"/>
      <c r="AZ16" s="298" t="n"/>
      <c r="BA16" s="299" t="n"/>
      <c r="BB16" s="299" t="n"/>
      <c r="BC16" s="298" t="n"/>
      <c r="BD16" s="298" t="n"/>
      <c r="BE16" s="298" t="n"/>
      <c r="BF16" s="298" t="n"/>
      <c r="BG16" s="298" t="n"/>
      <c r="BH16" s="302" t="n"/>
      <c r="BI16" s="299" t="n"/>
      <c r="BJ16" s="298" t="n"/>
      <c r="BK16" s="298" t="n"/>
      <c r="BL16" s="298" t="n"/>
      <c r="BM16" s="298" t="n"/>
      <c r="BN16" s="298" t="n"/>
      <c r="BO16" s="299" t="n"/>
      <c r="BP16" s="299" t="n"/>
      <c r="BQ16" s="298" t="n"/>
      <c r="BR16" s="298" t="n"/>
      <c r="BS16" s="298" t="n"/>
      <c r="BT16" s="298" t="n"/>
      <c r="BU16" s="298" t="n"/>
      <c r="BV16" s="299" t="n"/>
      <c r="BW16" s="299" t="n"/>
      <c r="BX16" s="298" t="n"/>
      <c r="BY16" s="298" t="n"/>
      <c r="BZ16" s="298" t="n"/>
      <c r="CA16" s="298" t="n"/>
      <c r="CB16" s="298" t="n"/>
      <c r="CC16" s="299" t="n"/>
      <c r="CD16" s="299" t="n"/>
      <c r="CE16" s="298" t="n"/>
      <c r="CF16" s="298" t="n"/>
      <c r="CG16" s="298" t="n"/>
      <c r="CH16" s="298" t="n"/>
      <c r="CI16" s="298" t="n"/>
      <c r="CJ16" s="299" t="n"/>
      <c r="CK16" s="299" t="n"/>
      <c r="CL16" s="298" t="n"/>
      <c r="CM16" s="298" t="n"/>
      <c r="CN16" s="298" t="n"/>
      <c r="CO16" s="298" t="n"/>
      <c r="CP16" s="298" t="n"/>
      <c r="CQ16" s="299" t="n"/>
      <c r="CR16" s="299" t="n"/>
      <c r="CS16" s="298" t="n"/>
      <c r="CT16" s="298" t="n"/>
      <c r="CU16" s="298" t="n"/>
      <c r="CV16" s="298" t="n"/>
      <c r="CW16" s="298" t="n"/>
      <c r="CX16" s="299" t="n"/>
      <c r="CY16" s="299" t="n"/>
      <c r="CZ16" s="298" t="n"/>
      <c r="DA16" s="298" t="n"/>
      <c r="DB16" s="298" t="n"/>
      <c r="DC16" s="298" t="n"/>
      <c r="DD16" s="298" t="n"/>
      <c r="DE16" s="299" t="n"/>
      <c r="DF16" s="299" t="n"/>
      <c r="DG16" s="298" t="n"/>
      <c r="DH16" s="298" t="n"/>
      <c r="DI16" s="298" t="n"/>
      <c r="DJ16" s="298" t="n"/>
      <c r="DK16" s="298" t="n"/>
      <c r="DL16" s="299" t="n"/>
      <c r="DM16" s="299" t="n"/>
      <c r="DN16" s="298" t="n"/>
      <c r="DO16" s="298" t="n"/>
      <c r="DP16" s="298" t="n"/>
      <c r="DQ16" s="303" t="n"/>
    </row>
    <row r="17" ht="20" customHeight="1" s="236">
      <c r="A17" s="291" t="n">
        <v>8</v>
      </c>
      <c r="B17" s="292" t="inlineStr">
        <is>
          <t>追加ワーカー募集（既存ルート）</t>
        </is>
      </c>
      <c r="C17" s="314" t="inlineStr">
        <is>
          <t>採用</t>
        </is>
      </c>
      <c r="D17" s="294" t="n">
        <v>46274</v>
      </c>
      <c r="E17" s="294" t="n">
        <v>46295</v>
      </c>
      <c r="F17" s="295">
        <f>E17-D17+1</f>
        <v/>
      </c>
      <c r="G17" s="296" t="n">
        <v>0</v>
      </c>
      <c r="H17" s="315" t="n"/>
      <c r="I17" s="315" t="n"/>
      <c r="J17" s="315" t="n"/>
      <c r="K17" s="315" t="n"/>
      <c r="L17" s="315" t="n"/>
      <c r="M17" s="315" t="n"/>
      <c r="N17" s="315" t="n"/>
      <c r="O17" s="315" t="n"/>
      <c r="P17" s="315" t="n"/>
      <c r="Q17" s="315" t="n"/>
      <c r="R17" s="315" t="n"/>
      <c r="S17" s="315" t="n"/>
      <c r="T17" s="315" t="n"/>
      <c r="U17" s="315" t="n"/>
      <c r="V17" s="315" t="n"/>
      <c r="W17" s="315" t="n"/>
      <c r="X17" s="315" t="n"/>
      <c r="Y17" s="315" t="n"/>
      <c r="Z17" s="315" t="n"/>
      <c r="AA17" s="316" t="n"/>
      <c r="AB17" s="315" t="n"/>
      <c r="AC17" s="315" t="n"/>
      <c r="AD17" s="301" t="n"/>
      <c r="AE17" s="298" t="n"/>
      <c r="AF17" s="299" t="n"/>
      <c r="AG17" s="299" t="n"/>
      <c r="AH17" s="298" t="n"/>
      <c r="AI17" s="298" t="n"/>
      <c r="AJ17" s="298" t="n"/>
      <c r="AK17" s="298" t="n"/>
      <c r="AL17" s="298" t="n"/>
      <c r="AM17" s="299" t="n"/>
      <c r="AN17" s="299" t="n"/>
      <c r="AO17" s="298" t="n"/>
      <c r="AP17" s="298" t="n"/>
      <c r="AQ17" s="298" t="n"/>
      <c r="AR17" s="298" t="n"/>
      <c r="AS17" s="298" t="n"/>
      <c r="AT17" s="299" t="n"/>
      <c r="AU17" s="299" t="n"/>
      <c r="AV17" s="298" t="n"/>
      <c r="AW17" s="298" t="n"/>
      <c r="AX17" s="298" t="n"/>
      <c r="AY17" s="298" t="n"/>
      <c r="AZ17" s="298" t="n"/>
      <c r="BA17" s="299" t="n"/>
      <c r="BB17" s="299" t="n"/>
      <c r="BC17" s="298" t="n"/>
      <c r="BD17" s="298" t="n"/>
      <c r="BE17" s="298" t="n"/>
      <c r="BF17" s="298" t="n"/>
      <c r="BG17" s="298" t="n"/>
      <c r="BH17" s="302" t="n"/>
      <c r="BI17" s="299" t="n"/>
      <c r="BJ17" s="298" t="n"/>
      <c r="BK17" s="298" t="n"/>
      <c r="BL17" s="298" t="n"/>
      <c r="BM17" s="298" t="n"/>
      <c r="BN17" s="298" t="n"/>
      <c r="BO17" s="299" t="n"/>
      <c r="BP17" s="299" t="n"/>
      <c r="BQ17" s="298" t="n"/>
      <c r="BR17" s="298" t="n"/>
      <c r="BS17" s="298" t="n"/>
      <c r="BT17" s="298" t="n"/>
      <c r="BU17" s="298" t="n"/>
      <c r="BV17" s="299" t="n"/>
      <c r="BW17" s="299" t="n"/>
      <c r="BX17" s="298" t="n"/>
      <c r="BY17" s="298" t="n"/>
      <c r="BZ17" s="298" t="n"/>
      <c r="CA17" s="298" t="n"/>
      <c r="CB17" s="298" t="n"/>
      <c r="CC17" s="299" t="n"/>
      <c r="CD17" s="299" t="n"/>
      <c r="CE17" s="298" t="n"/>
      <c r="CF17" s="298" t="n"/>
      <c r="CG17" s="298" t="n"/>
      <c r="CH17" s="298" t="n"/>
      <c r="CI17" s="298" t="n"/>
      <c r="CJ17" s="299" t="n"/>
      <c r="CK17" s="299" t="n"/>
      <c r="CL17" s="298" t="n"/>
      <c r="CM17" s="298" t="n"/>
      <c r="CN17" s="298" t="n"/>
      <c r="CO17" s="298" t="n"/>
      <c r="CP17" s="298" t="n"/>
      <c r="CQ17" s="299" t="n"/>
      <c r="CR17" s="299" t="n"/>
      <c r="CS17" s="298" t="n"/>
      <c r="CT17" s="298" t="n"/>
      <c r="CU17" s="298" t="n"/>
      <c r="CV17" s="298" t="n"/>
      <c r="CW17" s="298" t="n"/>
      <c r="CX17" s="299" t="n"/>
      <c r="CY17" s="299" t="n"/>
      <c r="CZ17" s="298" t="n"/>
      <c r="DA17" s="298" t="n"/>
      <c r="DB17" s="298" t="n"/>
      <c r="DC17" s="298" t="n"/>
      <c r="DD17" s="298" t="n"/>
      <c r="DE17" s="299" t="n"/>
      <c r="DF17" s="299" t="n"/>
      <c r="DG17" s="298" t="n"/>
      <c r="DH17" s="298" t="n"/>
      <c r="DI17" s="298" t="n"/>
      <c r="DJ17" s="298" t="n"/>
      <c r="DK17" s="298" t="n"/>
      <c r="DL17" s="299" t="n"/>
      <c r="DM17" s="299" t="n"/>
      <c r="DN17" s="298" t="n"/>
      <c r="DO17" s="298" t="n"/>
      <c r="DP17" s="298" t="n"/>
      <c r="DQ17" s="303" t="n"/>
    </row>
    <row r="18" ht="20" customHeight="1" s="236">
      <c r="A18" s="291" t="n">
        <v>9</v>
      </c>
      <c r="B18" s="292" t="inlineStr">
        <is>
          <t>ママワークス求人準備</t>
        </is>
      </c>
      <c r="C18" s="314" t="inlineStr">
        <is>
          <t>採用</t>
        </is>
      </c>
      <c r="D18" s="294" t="n">
        <v>46286</v>
      </c>
      <c r="E18" s="294" t="n">
        <v>46295</v>
      </c>
      <c r="F18" s="295">
        <f>E18-D18+1</f>
        <v/>
      </c>
      <c r="G18" s="296" t="n">
        <v>0</v>
      </c>
      <c r="H18" s="298" t="n"/>
      <c r="I18" s="298" t="n"/>
      <c r="J18" s="298" t="n"/>
      <c r="K18" s="299" t="n"/>
      <c r="L18" s="299" t="n"/>
      <c r="M18" s="298" t="n"/>
      <c r="N18" s="298" t="n"/>
      <c r="O18" s="298" t="n"/>
      <c r="P18" s="298" t="n"/>
      <c r="Q18" s="298" t="n"/>
      <c r="R18" s="299" t="n"/>
      <c r="S18" s="299" t="n"/>
      <c r="T18" s="315" t="n"/>
      <c r="U18" s="315" t="n"/>
      <c r="V18" s="315" t="n"/>
      <c r="W18" s="315" t="n"/>
      <c r="X18" s="315" t="n"/>
      <c r="Y18" s="315" t="n"/>
      <c r="Z18" s="315" t="n"/>
      <c r="AA18" s="316" t="n"/>
      <c r="AB18" s="315" t="n"/>
      <c r="AC18" s="315" t="n"/>
      <c r="AD18" s="301" t="n"/>
      <c r="AE18" s="298" t="n"/>
      <c r="AF18" s="299" t="n"/>
      <c r="AG18" s="299" t="n"/>
      <c r="AH18" s="298" t="n"/>
      <c r="AI18" s="298" t="n"/>
      <c r="AJ18" s="298" t="n"/>
      <c r="AK18" s="298" t="n"/>
      <c r="AL18" s="298" t="n"/>
      <c r="AM18" s="299" t="n"/>
      <c r="AN18" s="299" t="n"/>
      <c r="AO18" s="298" t="n"/>
      <c r="AP18" s="298" t="n"/>
      <c r="AQ18" s="298" t="n"/>
      <c r="AR18" s="298" t="n"/>
      <c r="AS18" s="298" t="n"/>
      <c r="AT18" s="299" t="n"/>
      <c r="AU18" s="299" t="n"/>
      <c r="AV18" s="298" t="n"/>
      <c r="AW18" s="298" t="n"/>
      <c r="AX18" s="298" t="n"/>
      <c r="AY18" s="298" t="n"/>
      <c r="AZ18" s="298" t="n"/>
      <c r="BA18" s="299" t="n"/>
      <c r="BB18" s="299" t="n"/>
      <c r="BC18" s="298" t="n"/>
      <c r="BD18" s="298" t="n"/>
      <c r="BE18" s="298" t="n"/>
      <c r="BF18" s="298" t="n"/>
      <c r="BG18" s="298" t="n"/>
      <c r="BH18" s="302" t="n"/>
      <c r="BI18" s="299" t="n"/>
      <c r="BJ18" s="298" t="n"/>
      <c r="BK18" s="298" t="n"/>
      <c r="BL18" s="298" t="n"/>
      <c r="BM18" s="298" t="n"/>
      <c r="BN18" s="298" t="n"/>
      <c r="BO18" s="299" t="n"/>
      <c r="BP18" s="299" t="n"/>
      <c r="BQ18" s="298" t="n"/>
      <c r="BR18" s="298" t="n"/>
      <c r="BS18" s="298" t="n"/>
      <c r="BT18" s="298" t="n"/>
      <c r="BU18" s="298" t="n"/>
      <c r="BV18" s="299" t="n"/>
      <c r="BW18" s="299" t="n"/>
      <c r="BX18" s="298" t="n"/>
      <c r="BY18" s="298" t="n"/>
      <c r="BZ18" s="298" t="n"/>
      <c r="CA18" s="298" t="n"/>
      <c r="CB18" s="298" t="n"/>
      <c r="CC18" s="299" t="n"/>
      <c r="CD18" s="299" t="n"/>
      <c r="CE18" s="298" t="n"/>
      <c r="CF18" s="298" t="n"/>
      <c r="CG18" s="298" t="n"/>
      <c r="CH18" s="298" t="n"/>
      <c r="CI18" s="298" t="n"/>
      <c r="CJ18" s="299" t="n"/>
      <c r="CK18" s="299" t="n"/>
      <c r="CL18" s="298" t="n"/>
      <c r="CM18" s="298" t="n"/>
      <c r="CN18" s="298" t="n"/>
      <c r="CO18" s="298" t="n"/>
      <c r="CP18" s="298" t="n"/>
      <c r="CQ18" s="299" t="n"/>
      <c r="CR18" s="299" t="n"/>
      <c r="CS18" s="298" t="n"/>
      <c r="CT18" s="298" t="n"/>
      <c r="CU18" s="298" t="n"/>
      <c r="CV18" s="298" t="n"/>
      <c r="CW18" s="298" t="n"/>
      <c r="CX18" s="299" t="n"/>
      <c r="CY18" s="299" t="n"/>
      <c r="CZ18" s="298" t="n"/>
      <c r="DA18" s="298" t="n"/>
      <c r="DB18" s="298" t="n"/>
      <c r="DC18" s="298" t="n"/>
      <c r="DD18" s="298" t="n"/>
      <c r="DE18" s="299" t="n"/>
      <c r="DF18" s="299" t="n"/>
      <c r="DG18" s="298" t="n"/>
      <c r="DH18" s="298" t="n"/>
      <c r="DI18" s="298" t="n"/>
      <c r="DJ18" s="298" t="n"/>
      <c r="DK18" s="298" t="n"/>
      <c r="DL18" s="299" t="n"/>
      <c r="DM18" s="299" t="n"/>
      <c r="DN18" s="298" t="n"/>
      <c r="DO18" s="298" t="n"/>
      <c r="DP18" s="298" t="n"/>
      <c r="DQ18" s="303" t="n"/>
    </row>
    <row r="19" ht="20" customHeight="1" s="236">
      <c r="A19" s="291" t="n">
        <v>10</v>
      </c>
      <c r="B19" s="292" t="inlineStr">
        <is>
          <t>★ママワークス募集開始・応募受付</t>
        </is>
      </c>
      <c r="C19" s="314" t="inlineStr">
        <is>
          <t>採用</t>
        </is>
      </c>
      <c r="D19" s="294" t="n">
        <v>46296</v>
      </c>
      <c r="E19" s="294" t="n">
        <v>46356</v>
      </c>
      <c r="F19" s="295">
        <f>E19-D19+1</f>
        <v/>
      </c>
      <c r="G19" s="296" t="n">
        <v>0</v>
      </c>
      <c r="H19" s="298" t="n"/>
      <c r="I19" s="298" t="n"/>
      <c r="J19" s="298" t="n"/>
      <c r="K19" s="299" t="n"/>
      <c r="L19" s="299" t="n"/>
      <c r="M19" s="298" t="n"/>
      <c r="N19" s="298" t="n"/>
      <c r="O19" s="298" t="n"/>
      <c r="P19" s="298" t="n"/>
      <c r="Q19" s="298" t="n"/>
      <c r="R19" s="299" t="n"/>
      <c r="S19" s="299" t="n"/>
      <c r="T19" s="298" t="n"/>
      <c r="U19" s="298" t="n"/>
      <c r="V19" s="298" t="n"/>
      <c r="W19" s="298" t="n"/>
      <c r="X19" s="298" t="n"/>
      <c r="Y19" s="299" t="n"/>
      <c r="Z19" s="299" t="n"/>
      <c r="AA19" s="300" t="n"/>
      <c r="AB19" s="298" t="n"/>
      <c r="AC19" s="298" t="n"/>
      <c r="AD19" s="317" t="n"/>
      <c r="AE19" s="315" t="n"/>
      <c r="AF19" s="315" t="n"/>
      <c r="AG19" s="315" t="n"/>
      <c r="AH19" s="315" t="n"/>
      <c r="AI19" s="315" t="n"/>
      <c r="AJ19" s="315" t="n"/>
      <c r="AK19" s="315" t="n"/>
      <c r="AL19" s="315" t="n"/>
      <c r="AM19" s="315" t="n"/>
      <c r="AN19" s="315" t="n"/>
      <c r="AO19" s="315" t="n"/>
      <c r="AP19" s="315" t="n"/>
      <c r="AQ19" s="315" t="n"/>
      <c r="AR19" s="315" t="n"/>
      <c r="AS19" s="315" t="n"/>
      <c r="AT19" s="315" t="n"/>
      <c r="AU19" s="315" t="n"/>
      <c r="AV19" s="315" t="n"/>
      <c r="AW19" s="315" t="n"/>
      <c r="AX19" s="315" t="n"/>
      <c r="AY19" s="315" t="n"/>
      <c r="AZ19" s="315" t="n"/>
      <c r="BA19" s="315" t="n"/>
      <c r="BB19" s="315" t="n"/>
      <c r="BC19" s="315" t="n"/>
      <c r="BD19" s="315" t="n"/>
      <c r="BE19" s="315" t="n"/>
      <c r="BF19" s="315" t="n"/>
      <c r="BG19" s="315" t="n"/>
      <c r="BH19" s="318" t="n"/>
      <c r="BI19" s="315" t="n"/>
      <c r="BJ19" s="315" t="n"/>
      <c r="BK19" s="315" t="n"/>
      <c r="BL19" s="315" t="n"/>
      <c r="BM19" s="315" t="n"/>
      <c r="BN19" s="315" t="n"/>
      <c r="BO19" s="315" t="n"/>
      <c r="BP19" s="315" t="n"/>
      <c r="BQ19" s="315" t="n"/>
      <c r="BR19" s="315" t="n"/>
      <c r="BS19" s="315" t="n"/>
      <c r="BT19" s="315" t="n"/>
      <c r="BU19" s="315" t="n"/>
      <c r="BV19" s="315" t="n"/>
      <c r="BW19" s="315" t="n"/>
      <c r="BX19" s="315" t="n"/>
      <c r="BY19" s="315" t="n"/>
      <c r="BZ19" s="315" t="n"/>
      <c r="CA19" s="315" t="n"/>
      <c r="CB19" s="315" t="n"/>
      <c r="CC19" s="315" t="n"/>
      <c r="CD19" s="315" t="n"/>
      <c r="CE19" s="315" t="n"/>
      <c r="CF19" s="315" t="n"/>
      <c r="CG19" s="315" t="n"/>
      <c r="CH19" s="315" t="n"/>
      <c r="CI19" s="315" t="n"/>
      <c r="CJ19" s="315" t="n"/>
      <c r="CK19" s="315" t="n"/>
      <c r="CL19" s="315" t="n"/>
      <c r="CM19" s="298" t="n"/>
      <c r="CN19" s="298" t="n"/>
      <c r="CO19" s="298" t="n"/>
      <c r="CP19" s="298" t="n"/>
      <c r="CQ19" s="299" t="n"/>
      <c r="CR19" s="299" t="n"/>
      <c r="CS19" s="298" t="n"/>
      <c r="CT19" s="298" t="n"/>
      <c r="CU19" s="298" t="n"/>
      <c r="CV19" s="298" t="n"/>
      <c r="CW19" s="298" t="n"/>
      <c r="CX19" s="299" t="n"/>
      <c r="CY19" s="299" t="n"/>
      <c r="CZ19" s="298" t="n"/>
      <c r="DA19" s="298" t="n"/>
      <c r="DB19" s="298" t="n"/>
      <c r="DC19" s="298" t="n"/>
      <c r="DD19" s="298" t="n"/>
      <c r="DE19" s="299" t="n"/>
      <c r="DF19" s="299" t="n"/>
      <c r="DG19" s="298" t="n"/>
      <c r="DH19" s="298" t="n"/>
      <c r="DI19" s="298" t="n"/>
      <c r="DJ19" s="298" t="n"/>
      <c r="DK19" s="298" t="n"/>
      <c r="DL19" s="299" t="n"/>
      <c r="DM19" s="299" t="n"/>
      <c r="DN19" s="298" t="n"/>
      <c r="DO19" s="298" t="n"/>
      <c r="DP19" s="298" t="n"/>
      <c r="DQ19" s="303" t="n"/>
    </row>
    <row r="20" ht="20" customHeight="1" s="236">
      <c r="A20" s="291" t="n">
        <v>11</v>
      </c>
      <c r="B20" s="292" t="inlineStr">
        <is>
          <t>ママワークス面接・選考</t>
        </is>
      </c>
      <c r="C20" s="314" t="inlineStr">
        <is>
          <t>採用</t>
        </is>
      </c>
      <c r="D20" s="294" t="n">
        <v>46307</v>
      </c>
      <c r="E20" s="294" t="n">
        <v>46369</v>
      </c>
      <c r="F20" s="295">
        <f>E20-D20+1</f>
        <v/>
      </c>
      <c r="G20" s="296" t="n">
        <v>0</v>
      </c>
      <c r="H20" s="298" t="n"/>
      <c r="I20" s="298" t="n"/>
      <c r="J20" s="298" t="n"/>
      <c r="K20" s="299" t="n"/>
      <c r="L20" s="299" t="n"/>
      <c r="M20" s="298" t="n"/>
      <c r="N20" s="298" t="n"/>
      <c r="O20" s="298" t="n"/>
      <c r="P20" s="298" t="n"/>
      <c r="Q20" s="298" t="n"/>
      <c r="R20" s="299" t="n"/>
      <c r="S20" s="299" t="n"/>
      <c r="T20" s="298" t="n"/>
      <c r="U20" s="298" t="n"/>
      <c r="V20" s="298" t="n"/>
      <c r="W20" s="298" t="n"/>
      <c r="X20" s="298" t="n"/>
      <c r="Y20" s="299" t="n"/>
      <c r="Z20" s="299" t="n"/>
      <c r="AA20" s="300" t="n"/>
      <c r="AB20" s="298" t="n"/>
      <c r="AC20" s="298" t="n"/>
      <c r="AD20" s="301" t="n"/>
      <c r="AE20" s="298" t="n"/>
      <c r="AF20" s="299" t="n"/>
      <c r="AG20" s="299" t="n"/>
      <c r="AH20" s="298" t="n"/>
      <c r="AI20" s="298" t="n"/>
      <c r="AJ20" s="298" t="n"/>
      <c r="AK20" s="298" t="n"/>
      <c r="AL20" s="298" t="n"/>
      <c r="AM20" s="299" t="n"/>
      <c r="AN20" s="299" t="n"/>
      <c r="AO20" s="315" t="n"/>
      <c r="AP20" s="315" t="n"/>
      <c r="AQ20" s="315" t="n"/>
      <c r="AR20" s="315" t="n"/>
      <c r="AS20" s="315" t="n"/>
      <c r="AT20" s="315" t="n"/>
      <c r="AU20" s="315" t="n"/>
      <c r="AV20" s="315" t="n"/>
      <c r="AW20" s="315" t="n"/>
      <c r="AX20" s="315" t="n"/>
      <c r="AY20" s="315" t="n"/>
      <c r="AZ20" s="315" t="n"/>
      <c r="BA20" s="315" t="n"/>
      <c r="BB20" s="315" t="n"/>
      <c r="BC20" s="315" t="n"/>
      <c r="BD20" s="315" t="n"/>
      <c r="BE20" s="315" t="n"/>
      <c r="BF20" s="315" t="n"/>
      <c r="BG20" s="315" t="n"/>
      <c r="BH20" s="318" t="n"/>
      <c r="BI20" s="315" t="n"/>
      <c r="BJ20" s="315" t="n"/>
      <c r="BK20" s="315" t="n"/>
      <c r="BL20" s="315" t="n"/>
      <c r="BM20" s="315" t="n"/>
      <c r="BN20" s="315" t="n"/>
      <c r="BO20" s="315" t="n"/>
      <c r="BP20" s="315" t="n"/>
      <c r="BQ20" s="315" t="n"/>
      <c r="BR20" s="315" t="n"/>
      <c r="BS20" s="315" t="n"/>
      <c r="BT20" s="315" t="n"/>
      <c r="BU20" s="315" t="n"/>
      <c r="BV20" s="315" t="n"/>
      <c r="BW20" s="315" t="n"/>
      <c r="BX20" s="315" t="n"/>
      <c r="BY20" s="315" t="n"/>
      <c r="BZ20" s="315" t="n"/>
      <c r="CA20" s="315" t="n"/>
      <c r="CB20" s="315" t="n"/>
      <c r="CC20" s="315" t="n"/>
      <c r="CD20" s="315" t="n"/>
      <c r="CE20" s="315" t="n"/>
      <c r="CF20" s="315" t="n"/>
      <c r="CG20" s="315" t="n"/>
      <c r="CH20" s="315" t="n"/>
      <c r="CI20" s="315" t="n"/>
      <c r="CJ20" s="315" t="n"/>
      <c r="CK20" s="315" t="n"/>
      <c r="CL20" s="315" t="n"/>
      <c r="CM20" s="315" t="n"/>
      <c r="CN20" s="315" t="n"/>
      <c r="CO20" s="315" t="n"/>
      <c r="CP20" s="315" t="n"/>
      <c r="CQ20" s="315" t="n"/>
      <c r="CR20" s="315" t="n"/>
      <c r="CS20" s="315" t="n"/>
      <c r="CT20" s="315" t="n"/>
      <c r="CU20" s="315" t="n"/>
      <c r="CV20" s="315" t="n"/>
      <c r="CW20" s="315" t="n"/>
      <c r="CX20" s="315" t="n"/>
      <c r="CY20" s="315" t="n"/>
      <c r="CZ20" s="298" t="n"/>
      <c r="DA20" s="298" t="n"/>
      <c r="DB20" s="298" t="n"/>
      <c r="DC20" s="298" t="n"/>
      <c r="DD20" s="298" t="n"/>
      <c r="DE20" s="299" t="n"/>
      <c r="DF20" s="299" t="n"/>
      <c r="DG20" s="298" t="n"/>
      <c r="DH20" s="298" t="n"/>
      <c r="DI20" s="298" t="n"/>
      <c r="DJ20" s="298" t="n"/>
      <c r="DK20" s="298" t="n"/>
      <c r="DL20" s="299" t="n"/>
      <c r="DM20" s="299" t="n"/>
      <c r="DN20" s="298" t="n"/>
      <c r="DO20" s="298" t="n"/>
      <c r="DP20" s="298" t="n"/>
      <c r="DQ20" s="303" t="n"/>
    </row>
    <row r="21" ht="20" customHeight="1" s="236">
      <c r="A21" s="291" t="n">
        <v>12</v>
      </c>
      <c r="B21" s="292" t="inlineStr">
        <is>
          <t>採用者オンボーディング・教育</t>
        </is>
      </c>
      <c r="C21" s="314" t="inlineStr">
        <is>
          <t>採用</t>
        </is>
      </c>
      <c r="D21" s="294" t="n">
        <v>46321</v>
      </c>
      <c r="E21" s="294" t="n">
        <v>46387</v>
      </c>
      <c r="F21" s="295">
        <f>E21-D21+1</f>
        <v/>
      </c>
      <c r="G21" s="296" t="n">
        <v>0</v>
      </c>
      <c r="H21" s="298" t="n"/>
      <c r="I21" s="298" t="n"/>
      <c r="J21" s="298" t="n"/>
      <c r="K21" s="299" t="n"/>
      <c r="L21" s="299" t="n"/>
      <c r="M21" s="298" t="n"/>
      <c r="N21" s="298" t="n"/>
      <c r="O21" s="298" t="n"/>
      <c r="P21" s="298" t="n"/>
      <c r="Q21" s="298" t="n"/>
      <c r="R21" s="299" t="n"/>
      <c r="S21" s="299" t="n"/>
      <c r="T21" s="298" t="n"/>
      <c r="U21" s="298" t="n"/>
      <c r="V21" s="298" t="n"/>
      <c r="W21" s="298" t="n"/>
      <c r="X21" s="298" t="n"/>
      <c r="Y21" s="299" t="n"/>
      <c r="Z21" s="299" t="n"/>
      <c r="AA21" s="300" t="n"/>
      <c r="AB21" s="298" t="n"/>
      <c r="AC21" s="298" t="n"/>
      <c r="AD21" s="301" t="n"/>
      <c r="AE21" s="298" t="n"/>
      <c r="AF21" s="299" t="n"/>
      <c r="AG21" s="299" t="n"/>
      <c r="AH21" s="298" t="n"/>
      <c r="AI21" s="298" t="n"/>
      <c r="AJ21" s="298" t="n"/>
      <c r="AK21" s="298" t="n"/>
      <c r="AL21" s="298" t="n"/>
      <c r="AM21" s="299" t="n"/>
      <c r="AN21" s="299" t="n"/>
      <c r="AO21" s="298" t="n"/>
      <c r="AP21" s="298" t="n"/>
      <c r="AQ21" s="298" t="n"/>
      <c r="AR21" s="298" t="n"/>
      <c r="AS21" s="298" t="n"/>
      <c r="AT21" s="299" t="n"/>
      <c r="AU21" s="299" t="n"/>
      <c r="AV21" s="298" t="n"/>
      <c r="AW21" s="298" t="n"/>
      <c r="AX21" s="298" t="n"/>
      <c r="AY21" s="298" t="n"/>
      <c r="AZ21" s="298" t="n"/>
      <c r="BA21" s="299" t="n"/>
      <c r="BB21" s="299" t="n"/>
      <c r="BC21" s="315" t="n"/>
      <c r="BD21" s="315" t="n"/>
      <c r="BE21" s="315" t="n"/>
      <c r="BF21" s="315" t="n"/>
      <c r="BG21" s="315" t="n"/>
      <c r="BH21" s="318" t="n"/>
      <c r="BI21" s="315" t="n"/>
      <c r="BJ21" s="315" t="n"/>
      <c r="BK21" s="315" t="n"/>
      <c r="BL21" s="315" t="n"/>
      <c r="BM21" s="315" t="n"/>
      <c r="BN21" s="315" t="n"/>
      <c r="BO21" s="315" t="n"/>
      <c r="BP21" s="315" t="n"/>
      <c r="BQ21" s="315" t="n"/>
      <c r="BR21" s="315" t="n"/>
      <c r="BS21" s="315" t="n"/>
      <c r="BT21" s="315" t="n"/>
      <c r="BU21" s="315" t="n"/>
      <c r="BV21" s="315" t="n"/>
      <c r="BW21" s="315" t="n"/>
      <c r="BX21" s="315" t="n"/>
      <c r="BY21" s="315" t="n"/>
      <c r="BZ21" s="315" t="n"/>
      <c r="CA21" s="315" t="n"/>
      <c r="CB21" s="315" t="n"/>
      <c r="CC21" s="315" t="n"/>
      <c r="CD21" s="315" t="n"/>
      <c r="CE21" s="315" t="n"/>
      <c r="CF21" s="315" t="n"/>
      <c r="CG21" s="315" t="n"/>
      <c r="CH21" s="315" t="n"/>
      <c r="CI21" s="315" t="n"/>
      <c r="CJ21" s="315" t="n"/>
      <c r="CK21" s="315" t="n"/>
      <c r="CL21" s="315" t="n"/>
      <c r="CM21" s="315" t="n"/>
      <c r="CN21" s="315" t="n"/>
      <c r="CO21" s="315" t="n"/>
      <c r="CP21" s="315" t="n"/>
      <c r="CQ21" s="315" t="n"/>
      <c r="CR21" s="315" t="n"/>
      <c r="CS21" s="315" t="n"/>
      <c r="CT21" s="315" t="n"/>
      <c r="CU21" s="315" t="n"/>
      <c r="CV21" s="315" t="n"/>
      <c r="CW21" s="315" t="n"/>
      <c r="CX21" s="315" t="n"/>
      <c r="CY21" s="315" t="n"/>
      <c r="CZ21" s="315" t="n"/>
      <c r="DA21" s="315" t="n"/>
      <c r="DB21" s="315" t="n"/>
      <c r="DC21" s="315" t="n"/>
      <c r="DD21" s="315" t="n"/>
      <c r="DE21" s="315" t="n"/>
      <c r="DF21" s="315" t="n"/>
      <c r="DG21" s="315" t="n"/>
      <c r="DH21" s="315" t="n"/>
      <c r="DI21" s="315" t="n"/>
      <c r="DJ21" s="315" t="n"/>
      <c r="DK21" s="315" t="n"/>
      <c r="DL21" s="315" t="n"/>
      <c r="DM21" s="315" t="n"/>
      <c r="DN21" s="315" t="n"/>
      <c r="DO21" s="315" t="n"/>
      <c r="DP21" s="315" t="n"/>
      <c r="DQ21" s="319" t="n"/>
    </row>
    <row r="22" ht="20" customHeight="1" s="236">
      <c r="A22" s="291" t="n">
        <v>13</v>
      </c>
      <c r="B22" s="292" t="inlineStr">
        <is>
          <t>先行企業実運用</t>
        </is>
      </c>
      <c r="C22" s="320" t="inlineStr">
        <is>
          <t>実運用</t>
        </is>
      </c>
      <c r="D22" s="294" t="n">
        <v>46293</v>
      </c>
      <c r="E22" s="294" t="n">
        <v>46387</v>
      </c>
      <c r="F22" s="295">
        <f>E22-D22+1</f>
        <v/>
      </c>
      <c r="G22" s="296" t="n">
        <v>0</v>
      </c>
      <c r="H22" s="298" t="n"/>
      <c r="I22" s="298" t="n"/>
      <c r="J22" s="298" t="n"/>
      <c r="K22" s="299" t="n"/>
      <c r="L22" s="299" t="n"/>
      <c r="M22" s="298" t="n"/>
      <c r="N22" s="298" t="n"/>
      <c r="O22" s="298" t="n"/>
      <c r="P22" s="298" t="n"/>
      <c r="Q22" s="298" t="n"/>
      <c r="R22" s="299" t="n"/>
      <c r="S22" s="299" t="n"/>
      <c r="T22" s="298" t="n"/>
      <c r="U22" s="298" t="n"/>
      <c r="V22" s="298" t="n"/>
      <c r="W22" s="298" t="n"/>
      <c r="X22" s="298" t="n"/>
      <c r="Y22" s="299" t="n"/>
      <c r="Z22" s="299" t="n"/>
      <c r="AA22" s="321" t="n"/>
      <c r="AB22" s="322" t="n"/>
      <c r="AC22" s="322" t="n"/>
      <c r="AD22" s="323" t="n"/>
      <c r="AE22" s="322" t="n"/>
      <c r="AF22" s="322" t="n"/>
      <c r="AG22" s="322" t="n"/>
      <c r="AH22" s="322" t="n"/>
      <c r="AI22" s="322" t="n"/>
      <c r="AJ22" s="322" t="n"/>
      <c r="AK22" s="322" t="n"/>
      <c r="AL22" s="322" t="n"/>
      <c r="AM22" s="322" t="n"/>
      <c r="AN22" s="322" t="n"/>
      <c r="AO22" s="322" t="n"/>
      <c r="AP22" s="322" t="n"/>
      <c r="AQ22" s="322" t="n"/>
      <c r="AR22" s="322" t="n"/>
      <c r="AS22" s="322" t="n"/>
      <c r="AT22" s="322" t="n"/>
      <c r="AU22" s="322" t="n"/>
      <c r="AV22" s="322" t="n"/>
      <c r="AW22" s="322" t="n"/>
      <c r="AX22" s="322" t="n"/>
      <c r="AY22" s="322" t="n"/>
      <c r="AZ22" s="322" t="n"/>
      <c r="BA22" s="322" t="n"/>
      <c r="BB22" s="322" t="n"/>
      <c r="BC22" s="322" t="n"/>
      <c r="BD22" s="322" t="n"/>
      <c r="BE22" s="322" t="n"/>
      <c r="BF22" s="322" t="n"/>
      <c r="BG22" s="322" t="n"/>
      <c r="BH22" s="324" t="n"/>
      <c r="BI22" s="322" t="n"/>
      <c r="BJ22" s="322" t="n"/>
      <c r="BK22" s="322" t="n"/>
      <c r="BL22" s="322" t="n"/>
      <c r="BM22" s="322" t="n"/>
      <c r="BN22" s="322" t="n"/>
      <c r="BO22" s="322" t="n"/>
      <c r="BP22" s="322" t="n"/>
      <c r="BQ22" s="322" t="n"/>
      <c r="BR22" s="322" t="n"/>
      <c r="BS22" s="322" t="n"/>
      <c r="BT22" s="322" t="n"/>
      <c r="BU22" s="322" t="n"/>
      <c r="BV22" s="322" t="n"/>
      <c r="BW22" s="322" t="n"/>
      <c r="BX22" s="322" t="n"/>
      <c r="BY22" s="322" t="n"/>
      <c r="BZ22" s="322" t="n"/>
      <c r="CA22" s="322" t="n"/>
      <c r="CB22" s="322" t="n"/>
      <c r="CC22" s="322" t="n"/>
      <c r="CD22" s="322" t="n"/>
      <c r="CE22" s="322" t="n"/>
      <c r="CF22" s="322" t="n"/>
      <c r="CG22" s="322" t="n"/>
      <c r="CH22" s="322" t="n"/>
      <c r="CI22" s="322" t="n"/>
      <c r="CJ22" s="322" t="n"/>
      <c r="CK22" s="322" t="n"/>
      <c r="CL22" s="322" t="n"/>
      <c r="CM22" s="322" t="n"/>
      <c r="CN22" s="322" t="n"/>
      <c r="CO22" s="322" t="n"/>
      <c r="CP22" s="322" t="n"/>
      <c r="CQ22" s="322" t="n"/>
      <c r="CR22" s="322" t="n"/>
      <c r="CS22" s="322" t="n"/>
      <c r="CT22" s="322" t="n"/>
      <c r="CU22" s="322" t="n"/>
      <c r="CV22" s="322" t="n"/>
      <c r="CW22" s="322" t="n"/>
      <c r="CX22" s="322" t="n"/>
      <c r="CY22" s="322" t="n"/>
      <c r="CZ22" s="322" t="n"/>
      <c r="DA22" s="322" t="n"/>
      <c r="DB22" s="322" t="n"/>
      <c r="DC22" s="322" t="n"/>
      <c r="DD22" s="322" t="n"/>
      <c r="DE22" s="322" t="n"/>
      <c r="DF22" s="322" t="n"/>
      <c r="DG22" s="322" t="n"/>
      <c r="DH22" s="322" t="n"/>
      <c r="DI22" s="322" t="n"/>
      <c r="DJ22" s="322" t="n"/>
      <c r="DK22" s="322" t="n"/>
      <c r="DL22" s="322" t="n"/>
      <c r="DM22" s="322" t="n"/>
      <c r="DN22" s="322" t="n"/>
      <c r="DO22" s="322" t="n"/>
      <c r="DP22" s="322" t="n"/>
      <c r="DQ22" s="325" t="n"/>
    </row>
    <row r="23" ht="20" customHeight="1" s="236">
      <c r="A23" s="291" t="n">
        <v>14</v>
      </c>
      <c r="B23" s="292" t="inlineStr">
        <is>
          <t>第2グループ移管</t>
        </is>
      </c>
      <c r="C23" s="308" t="inlineStr">
        <is>
          <t>引継ぎ</t>
        </is>
      </c>
      <c r="D23" s="294" t="n">
        <v>46300</v>
      </c>
      <c r="E23" s="294" t="n">
        <v>46313</v>
      </c>
      <c r="F23" s="295">
        <f>E23-D23+1</f>
        <v/>
      </c>
      <c r="G23" s="296" t="n">
        <v>0</v>
      </c>
      <c r="H23" s="298" t="n"/>
      <c r="I23" s="298" t="n"/>
      <c r="J23" s="298" t="n"/>
      <c r="K23" s="299" t="n"/>
      <c r="L23" s="299" t="n"/>
      <c r="M23" s="298" t="n"/>
      <c r="N23" s="298" t="n"/>
      <c r="O23" s="298" t="n"/>
      <c r="P23" s="298" t="n"/>
      <c r="Q23" s="298" t="n"/>
      <c r="R23" s="299" t="n"/>
      <c r="S23" s="299" t="n"/>
      <c r="T23" s="298" t="n"/>
      <c r="U23" s="298" t="n"/>
      <c r="V23" s="298" t="n"/>
      <c r="W23" s="298" t="n"/>
      <c r="X23" s="298" t="n"/>
      <c r="Y23" s="299" t="n"/>
      <c r="Z23" s="299" t="n"/>
      <c r="AA23" s="300" t="n"/>
      <c r="AB23" s="298" t="n"/>
      <c r="AC23" s="298" t="n"/>
      <c r="AD23" s="301" t="n"/>
      <c r="AE23" s="298" t="n"/>
      <c r="AF23" s="299" t="n"/>
      <c r="AG23" s="299" t="n"/>
      <c r="AH23" s="309" t="n"/>
      <c r="AI23" s="309" t="n"/>
      <c r="AJ23" s="309" t="n"/>
      <c r="AK23" s="309" t="n"/>
      <c r="AL23" s="309" t="n"/>
      <c r="AM23" s="309" t="n"/>
      <c r="AN23" s="309" t="n"/>
      <c r="AO23" s="309" t="n"/>
      <c r="AP23" s="309" t="n"/>
      <c r="AQ23" s="309" t="n"/>
      <c r="AR23" s="309" t="n"/>
      <c r="AS23" s="309" t="n"/>
      <c r="AT23" s="309" t="n"/>
      <c r="AU23" s="309" t="n"/>
      <c r="AV23" s="298" t="n"/>
      <c r="AW23" s="298" t="n"/>
      <c r="AX23" s="298" t="n"/>
      <c r="AY23" s="298" t="n"/>
      <c r="AZ23" s="298" t="n"/>
      <c r="BA23" s="299" t="n"/>
      <c r="BB23" s="299" t="n"/>
      <c r="BC23" s="298" t="n"/>
      <c r="BD23" s="298" t="n"/>
      <c r="BE23" s="298" t="n"/>
      <c r="BF23" s="298" t="n"/>
      <c r="BG23" s="298" t="n"/>
      <c r="BH23" s="302" t="n"/>
      <c r="BI23" s="299" t="n"/>
      <c r="BJ23" s="298" t="n"/>
      <c r="BK23" s="298" t="n"/>
      <c r="BL23" s="298" t="n"/>
      <c r="BM23" s="298" t="n"/>
      <c r="BN23" s="298" t="n"/>
      <c r="BO23" s="299" t="n"/>
      <c r="BP23" s="299" t="n"/>
      <c r="BQ23" s="298" t="n"/>
      <c r="BR23" s="298" t="n"/>
      <c r="BS23" s="298" t="n"/>
      <c r="BT23" s="298" t="n"/>
      <c r="BU23" s="298" t="n"/>
      <c r="BV23" s="299" t="n"/>
      <c r="BW23" s="299" t="n"/>
      <c r="BX23" s="298" t="n"/>
      <c r="BY23" s="298" t="n"/>
      <c r="BZ23" s="298" t="n"/>
      <c r="CA23" s="298" t="n"/>
      <c r="CB23" s="298" t="n"/>
      <c r="CC23" s="299" t="n"/>
      <c r="CD23" s="299" t="n"/>
      <c r="CE23" s="298" t="n"/>
      <c r="CF23" s="298" t="n"/>
      <c r="CG23" s="298" t="n"/>
      <c r="CH23" s="298" t="n"/>
      <c r="CI23" s="298" t="n"/>
      <c r="CJ23" s="299" t="n"/>
      <c r="CK23" s="299" t="n"/>
      <c r="CL23" s="298" t="n"/>
      <c r="CM23" s="298" t="n"/>
      <c r="CN23" s="298" t="n"/>
      <c r="CO23" s="298" t="n"/>
      <c r="CP23" s="298" t="n"/>
      <c r="CQ23" s="299" t="n"/>
      <c r="CR23" s="299" t="n"/>
      <c r="CS23" s="298" t="n"/>
      <c r="CT23" s="298" t="n"/>
      <c r="CU23" s="298" t="n"/>
      <c r="CV23" s="298" t="n"/>
      <c r="CW23" s="298" t="n"/>
      <c r="CX23" s="299" t="n"/>
      <c r="CY23" s="299" t="n"/>
      <c r="CZ23" s="298" t="n"/>
      <c r="DA23" s="298" t="n"/>
      <c r="DB23" s="298" t="n"/>
      <c r="DC23" s="298" t="n"/>
      <c r="DD23" s="298" t="n"/>
      <c r="DE23" s="299" t="n"/>
      <c r="DF23" s="299" t="n"/>
      <c r="DG23" s="298" t="n"/>
      <c r="DH23" s="298" t="n"/>
      <c r="DI23" s="298" t="n"/>
      <c r="DJ23" s="298" t="n"/>
      <c r="DK23" s="298" t="n"/>
      <c r="DL23" s="299" t="n"/>
      <c r="DM23" s="299" t="n"/>
      <c r="DN23" s="298" t="n"/>
      <c r="DO23" s="298" t="n"/>
      <c r="DP23" s="298" t="n"/>
      <c r="DQ23" s="303" t="n"/>
    </row>
    <row r="24" ht="20" customHeight="1" s="236">
      <c r="A24" s="291" t="n">
        <v>15</v>
      </c>
      <c r="B24" s="292" t="inlineStr">
        <is>
          <t>第3グループ移管</t>
        </is>
      </c>
      <c r="C24" s="308" t="inlineStr">
        <is>
          <t>引継ぎ</t>
        </is>
      </c>
      <c r="D24" s="294" t="n">
        <v>46327</v>
      </c>
      <c r="E24" s="294" t="n">
        <v>46348</v>
      </c>
      <c r="F24" s="295">
        <f>E24-D24+1</f>
        <v/>
      </c>
      <c r="G24" s="296" t="n">
        <v>0</v>
      </c>
      <c r="H24" s="298" t="n"/>
      <c r="I24" s="298" t="n"/>
      <c r="J24" s="298" t="n"/>
      <c r="K24" s="299" t="n"/>
      <c r="L24" s="299" t="n"/>
      <c r="M24" s="298" t="n"/>
      <c r="N24" s="298" t="n"/>
      <c r="O24" s="298" t="n"/>
      <c r="P24" s="298" t="n"/>
      <c r="Q24" s="298" t="n"/>
      <c r="R24" s="299" t="n"/>
      <c r="S24" s="299" t="n"/>
      <c r="T24" s="298" t="n"/>
      <c r="U24" s="298" t="n"/>
      <c r="V24" s="298" t="n"/>
      <c r="W24" s="298" t="n"/>
      <c r="X24" s="298" t="n"/>
      <c r="Y24" s="299" t="n"/>
      <c r="Z24" s="299" t="n"/>
      <c r="AA24" s="300" t="n"/>
      <c r="AB24" s="298" t="n"/>
      <c r="AC24" s="298" t="n"/>
      <c r="AD24" s="301" t="n"/>
      <c r="AE24" s="298" t="n"/>
      <c r="AF24" s="299" t="n"/>
      <c r="AG24" s="299" t="n"/>
      <c r="AH24" s="298" t="n"/>
      <c r="AI24" s="298" t="n"/>
      <c r="AJ24" s="298" t="n"/>
      <c r="AK24" s="298" t="n"/>
      <c r="AL24" s="298" t="n"/>
      <c r="AM24" s="299" t="n"/>
      <c r="AN24" s="299" t="n"/>
      <c r="AO24" s="298" t="n"/>
      <c r="AP24" s="298" t="n"/>
      <c r="AQ24" s="298" t="n"/>
      <c r="AR24" s="298" t="n"/>
      <c r="AS24" s="298" t="n"/>
      <c r="AT24" s="299" t="n"/>
      <c r="AU24" s="299" t="n"/>
      <c r="AV24" s="298" t="n"/>
      <c r="AW24" s="298" t="n"/>
      <c r="AX24" s="298" t="n"/>
      <c r="AY24" s="298" t="n"/>
      <c r="AZ24" s="298" t="n"/>
      <c r="BA24" s="299" t="n"/>
      <c r="BB24" s="299" t="n"/>
      <c r="BC24" s="298" t="n"/>
      <c r="BD24" s="298" t="n"/>
      <c r="BE24" s="298" t="n"/>
      <c r="BF24" s="298" t="n"/>
      <c r="BG24" s="298" t="n"/>
      <c r="BH24" s="302" t="n"/>
      <c r="BI24" s="309" t="n"/>
      <c r="BJ24" s="309" t="n"/>
      <c r="BK24" s="309" t="n"/>
      <c r="BL24" s="309" t="n"/>
      <c r="BM24" s="309" t="n"/>
      <c r="BN24" s="309" t="n"/>
      <c r="BO24" s="309" t="n"/>
      <c r="BP24" s="309" t="n"/>
      <c r="BQ24" s="309" t="n"/>
      <c r="BR24" s="309" t="n"/>
      <c r="BS24" s="309" t="n"/>
      <c r="BT24" s="309" t="n"/>
      <c r="BU24" s="309" t="n"/>
      <c r="BV24" s="309" t="n"/>
      <c r="BW24" s="309" t="n"/>
      <c r="BX24" s="309" t="n"/>
      <c r="BY24" s="309" t="n"/>
      <c r="BZ24" s="309" t="n"/>
      <c r="CA24" s="309" t="n"/>
      <c r="CB24" s="309" t="n"/>
      <c r="CC24" s="309" t="n"/>
      <c r="CD24" s="309" t="n"/>
      <c r="CE24" s="298" t="n"/>
      <c r="CF24" s="298" t="n"/>
      <c r="CG24" s="298" t="n"/>
      <c r="CH24" s="298" t="n"/>
      <c r="CI24" s="298" t="n"/>
      <c r="CJ24" s="299" t="n"/>
      <c r="CK24" s="299" t="n"/>
      <c r="CL24" s="298" t="n"/>
      <c r="CM24" s="298" t="n"/>
      <c r="CN24" s="298" t="n"/>
      <c r="CO24" s="298" t="n"/>
      <c r="CP24" s="298" t="n"/>
      <c r="CQ24" s="299" t="n"/>
      <c r="CR24" s="299" t="n"/>
      <c r="CS24" s="298" t="n"/>
      <c r="CT24" s="298" t="n"/>
      <c r="CU24" s="298" t="n"/>
      <c r="CV24" s="298" t="n"/>
      <c r="CW24" s="298" t="n"/>
      <c r="CX24" s="299" t="n"/>
      <c r="CY24" s="299" t="n"/>
      <c r="CZ24" s="298" t="n"/>
      <c r="DA24" s="298" t="n"/>
      <c r="DB24" s="298" t="n"/>
      <c r="DC24" s="298" t="n"/>
      <c r="DD24" s="298" t="n"/>
      <c r="DE24" s="299" t="n"/>
      <c r="DF24" s="299" t="n"/>
      <c r="DG24" s="298" t="n"/>
      <c r="DH24" s="298" t="n"/>
      <c r="DI24" s="298" t="n"/>
      <c r="DJ24" s="298" t="n"/>
      <c r="DK24" s="298" t="n"/>
      <c r="DL24" s="299" t="n"/>
      <c r="DM24" s="299" t="n"/>
      <c r="DN24" s="298" t="n"/>
      <c r="DO24" s="298" t="n"/>
      <c r="DP24" s="298" t="n"/>
      <c r="DQ24" s="303" t="n"/>
    </row>
    <row r="25" ht="20" customHeight="1" s="236">
      <c r="A25" s="291" t="n">
        <v>16</v>
      </c>
      <c r="B25" s="292" t="inlineStr">
        <is>
          <t>対象企業拡大</t>
        </is>
      </c>
      <c r="C25" s="308" t="inlineStr">
        <is>
          <t>引継ぎ</t>
        </is>
      </c>
      <c r="D25" s="294" t="n">
        <v>46307</v>
      </c>
      <c r="E25" s="294" t="n">
        <v>46387</v>
      </c>
      <c r="F25" s="295">
        <f>E25-D25+1</f>
        <v/>
      </c>
      <c r="G25" s="296" t="n">
        <v>0</v>
      </c>
      <c r="H25" s="298" t="n"/>
      <c r="I25" s="298" t="n"/>
      <c r="J25" s="298" t="n"/>
      <c r="K25" s="299" t="n"/>
      <c r="L25" s="299" t="n"/>
      <c r="M25" s="298" t="n"/>
      <c r="N25" s="298" t="n"/>
      <c r="O25" s="298" t="n"/>
      <c r="P25" s="298" t="n"/>
      <c r="Q25" s="298" t="n"/>
      <c r="R25" s="299" t="n"/>
      <c r="S25" s="299" t="n"/>
      <c r="T25" s="298" t="n"/>
      <c r="U25" s="298" t="n"/>
      <c r="V25" s="298" t="n"/>
      <c r="W25" s="298" t="n"/>
      <c r="X25" s="298" t="n"/>
      <c r="Y25" s="299" t="n"/>
      <c r="Z25" s="299" t="n"/>
      <c r="AA25" s="300" t="n"/>
      <c r="AB25" s="298" t="n"/>
      <c r="AC25" s="298" t="n"/>
      <c r="AD25" s="301" t="n"/>
      <c r="AE25" s="298" t="n"/>
      <c r="AF25" s="299" t="n"/>
      <c r="AG25" s="299" t="n"/>
      <c r="AH25" s="298" t="n"/>
      <c r="AI25" s="298" t="n"/>
      <c r="AJ25" s="298" t="n"/>
      <c r="AK25" s="298" t="n"/>
      <c r="AL25" s="298" t="n"/>
      <c r="AM25" s="299" t="n"/>
      <c r="AN25" s="299" t="n"/>
      <c r="AO25" s="309" t="n"/>
      <c r="AP25" s="309" t="n"/>
      <c r="AQ25" s="309" t="n"/>
      <c r="AR25" s="309" t="n"/>
      <c r="AS25" s="309" t="n"/>
      <c r="AT25" s="309" t="n"/>
      <c r="AU25" s="309" t="n"/>
      <c r="AV25" s="309" t="n"/>
      <c r="AW25" s="309" t="n"/>
      <c r="AX25" s="309" t="n"/>
      <c r="AY25" s="309" t="n"/>
      <c r="AZ25" s="309" t="n"/>
      <c r="BA25" s="309" t="n"/>
      <c r="BB25" s="309" t="n"/>
      <c r="BC25" s="309" t="n"/>
      <c r="BD25" s="309" t="n"/>
      <c r="BE25" s="309" t="n"/>
      <c r="BF25" s="309" t="n"/>
      <c r="BG25" s="309" t="n"/>
      <c r="BH25" s="326" t="n"/>
      <c r="BI25" s="309" t="n"/>
      <c r="BJ25" s="309" t="n"/>
      <c r="BK25" s="309" t="n"/>
      <c r="BL25" s="309" t="n"/>
      <c r="BM25" s="309" t="n"/>
      <c r="BN25" s="309" t="n"/>
      <c r="BO25" s="309" t="n"/>
      <c r="BP25" s="309" t="n"/>
      <c r="BQ25" s="309" t="n"/>
      <c r="BR25" s="309" t="n"/>
      <c r="BS25" s="309" t="n"/>
      <c r="BT25" s="309" t="n"/>
      <c r="BU25" s="309" t="n"/>
      <c r="BV25" s="309" t="n"/>
      <c r="BW25" s="309" t="n"/>
      <c r="BX25" s="309" t="n"/>
      <c r="BY25" s="309" t="n"/>
      <c r="BZ25" s="309" t="n"/>
      <c r="CA25" s="309" t="n"/>
      <c r="CB25" s="309" t="n"/>
      <c r="CC25" s="309" t="n"/>
      <c r="CD25" s="309" t="n"/>
      <c r="CE25" s="309" t="n"/>
      <c r="CF25" s="309" t="n"/>
      <c r="CG25" s="309" t="n"/>
      <c r="CH25" s="309" t="n"/>
      <c r="CI25" s="309" t="n"/>
      <c r="CJ25" s="309" t="n"/>
      <c r="CK25" s="309" t="n"/>
      <c r="CL25" s="309" t="n"/>
      <c r="CM25" s="309" t="n"/>
      <c r="CN25" s="309" t="n"/>
      <c r="CO25" s="309" t="n"/>
      <c r="CP25" s="309" t="n"/>
      <c r="CQ25" s="309" t="n"/>
      <c r="CR25" s="309" t="n"/>
      <c r="CS25" s="309" t="n"/>
      <c r="CT25" s="309" t="n"/>
      <c r="CU25" s="309" t="n"/>
      <c r="CV25" s="309" t="n"/>
      <c r="CW25" s="309" t="n"/>
      <c r="CX25" s="309" t="n"/>
      <c r="CY25" s="309" t="n"/>
      <c r="CZ25" s="309" t="n"/>
      <c r="DA25" s="309" t="n"/>
      <c r="DB25" s="309" t="n"/>
      <c r="DC25" s="309" t="n"/>
      <c r="DD25" s="309" t="n"/>
      <c r="DE25" s="309" t="n"/>
      <c r="DF25" s="309" t="n"/>
      <c r="DG25" s="309" t="n"/>
      <c r="DH25" s="309" t="n"/>
      <c r="DI25" s="309" t="n"/>
      <c r="DJ25" s="309" t="n"/>
      <c r="DK25" s="309" t="n"/>
      <c r="DL25" s="309" t="n"/>
      <c r="DM25" s="309" t="n"/>
      <c r="DN25" s="309" t="n"/>
      <c r="DO25" s="309" t="n"/>
      <c r="DP25" s="309" t="n"/>
      <c r="DQ25" s="327" t="n"/>
    </row>
    <row r="26" ht="20" customHeight="1" s="236">
      <c r="A26" s="291" t="n">
        <v>17</v>
      </c>
      <c r="B26" s="292" t="inlineStr">
        <is>
          <t>品質検証</t>
        </is>
      </c>
      <c r="C26" s="328" t="inlineStr">
        <is>
          <t>検証</t>
        </is>
      </c>
      <c r="D26" s="294" t="n">
        <v>46293</v>
      </c>
      <c r="E26" s="294" t="n">
        <v>46387</v>
      </c>
      <c r="F26" s="295">
        <f>E26-D26+1</f>
        <v/>
      </c>
      <c r="G26" s="296" t="n">
        <v>0</v>
      </c>
      <c r="H26" s="298" t="n"/>
      <c r="I26" s="298" t="n"/>
      <c r="J26" s="298" t="n"/>
      <c r="K26" s="299" t="n"/>
      <c r="L26" s="299" t="n"/>
      <c r="M26" s="298" t="n"/>
      <c r="N26" s="298" t="n"/>
      <c r="O26" s="298" t="n"/>
      <c r="P26" s="298" t="n"/>
      <c r="Q26" s="298" t="n"/>
      <c r="R26" s="299" t="n"/>
      <c r="S26" s="299" t="n"/>
      <c r="T26" s="298" t="n"/>
      <c r="U26" s="298" t="n"/>
      <c r="V26" s="298" t="n"/>
      <c r="W26" s="298" t="n"/>
      <c r="X26" s="298" t="n"/>
      <c r="Y26" s="299" t="n"/>
      <c r="Z26" s="299" t="n"/>
      <c r="AA26" s="329" t="n"/>
      <c r="AB26" s="330" t="n"/>
      <c r="AC26" s="330" t="n"/>
      <c r="AD26" s="331" t="n"/>
      <c r="AE26" s="330" t="n"/>
      <c r="AF26" s="330" t="n"/>
      <c r="AG26" s="330" t="n"/>
      <c r="AH26" s="330" t="n"/>
      <c r="AI26" s="330" t="n"/>
      <c r="AJ26" s="330" t="n"/>
      <c r="AK26" s="330" t="n"/>
      <c r="AL26" s="330" t="n"/>
      <c r="AM26" s="330" t="n"/>
      <c r="AN26" s="330" t="n"/>
      <c r="AO26" s="330" t="n"/>
      <c r="AP26" s="330" t="n"/>
      <c r="AQ26" s="330" t="n"/>
      <c r="AR26" s="330" t="n"/>
      <c r="AS26" s="330" t="n"/>
      <c r="AT26" s="330" t="n"/>
      <c r="AU26" s="330" t="n"/>
      <c r="AV26" s="330" t="n"/>
      <c r="AW26" s="330" t="n"/>
      <c r="AX26" s="330" t="n"/>
      <c r="AY26" s="330" t="n"/>
      <c r="AZ26" s="330" t="n"/>
      <c r="BA26" s="330" t="n"/>
      <c r="BB26" s="330" t="n"/>
      <c r="BC26" s="330" t="n"/>
      <c r="BD26" s="330" t="n"/>
      <c r="BE26" s="330" t="n"/>
      <c r="BF26" s="330" t="n"/>
      <c r="BG26" s="330" t="n"/>
      <c r="BH26" s="332" t="n"/>
      <c r="BI26" s="330" t="n"/>
      <c r="BJ26" s="330" t="n"/>
      <c r="BK26" s="330" t="n"/>
      <c r="BL26" s="330" t="n"/>
      <c r="BM26" s="330" t="n"/>
      <c r="BN26" s="330" t="n"/>
      <c r="BO26" s="330" t="n"/>
      <c r="BP26" s="330" t="n"/>
      <c r="BQ26" s="330" t="n"/>
      <c r="BR26" s="330" t="n"/>
      <c r="BS26" s="330" t="n"/>
      <c r="BT26" s="330" t="n"/>
      <c r="BU26" s="330" t="n"/>
      <c r="BV26" s="330" t="n"/>
      <c r="BW26" s="330" t="n"/>
      <c r="BX26" s="330" t="n"/>
      <c r="BY26" s="330" t="n"/>
      <c r="BZ26" s="330" t="n"/>
      <c r="CA26" s="330" t="n"/>
      <c r="CB26" s="330" t="n"/>
      <c r="CC26" s="330" t="n"/>
      <c r="CD26" s="330" t="n"/>
      <c r="CE26" s="330" t="n"/>
      <c r="CF26" s="330" t="n"/>
      <c r="CG26" s="330" t="n"/>
      <c r="CH26" s="330" t="n"/>
      <c r="CI26" s="330" t="n"/>
      <c r="CJ26" s="330" t="n"/>
      <c r="CK26" s="330" t="n"/>
      <c r="CL26" s="330" t="n"/>
      <c r="CM26" s="330" t="n"/>
      <c r="CN26" s="330" t="n"/>
      <c r="CO26" s="330" t="n"/>
      <c r="CP26" s="330" t="n"/>
      <c r="CQ26" s="330" t="n"/>
      <c r="CR26" s="330" t="n"/>
      <c r="CS26" s="330" t="n"/>
      <c r="CT26" s="330" t="n"/>
      <c r="CU26" s="330" t="n"/>
      <c r="CV26" s="330" t="n"/>
      <c r="CW26" s="330" t="n"/>
      <c r="CX26" s="330" t="n"/>
      <c r="CY26" s="330" t="n"/>
      <c r="CZ26" s="330" t="n"/>
      <c r="DA26" s="330" t="n"/>
      <c r="DB26" s="330" t="n"/>
      <c r="DC26" s="330" t="n"/>
      <c r="DD26" s="330" t="n"/>
      <c r="DE26" s="330" t="n"/>
      <c r="DF26" s="330" t="n"/>
      <c r="DG26" s="330" t="n"/>
      <c r="DH26" s="330" t="n"/>
      <c r="DI26" s="330" t="n"/>
      <c r="DJ26" s="330" t="n"/>
      <c r="DK26" s="330" t="n"/>
      <c r="DL26" s="330" t="n"/>
      <c r="DM26" s="330" t="n"/>
      <c r="DN26" s="330" t="n"/>
      <c r="DO26" s="330" t="n"/>
      <c r="DP26" s="330" t="n"/>
      <c r="DQ26" s="333" t="n"/>
    </row>
    <row r="27" ht="20" customHeight="1" s="236">
      <c r="A27" s="291" t="n">
        <v>18</v>
      </c>
      <c r="B27" s="292" t="inlineStr">
        <is>
          <t>顧客対応移管</t>
        </is>
      </c>
      <c r="C27" s="320" t="inlineStr">
        <is>
          <t>実運用</t>
        </is>
      </c>
      <c r="D27" s="294" t="n">
        <v>46293</v>
      </c>
      <c r="E27" s="294" t="n">
        <v>46387</v>
      </c>
      <c r="F27" s="295">
        <f>E27-D27+1</f>
        <v/>
      </c>
      <c r="G27" s="296" t="n">
        <v>0</v>
      </c>
      <c r="H27" s="298" t="n"/>
      <c r="I27" s="298" t="n"/>
      <c r="J27" s="298" t="n"/>
      <c r="K27" s="299" t="n"/>
      <c r="L27" s="299" t="n"/>
      <c r="M27" s="298" t="n"/>
      <c r="N27" s="298" t="n"/>
      <c r="O27" s="298" t="n"/>
      <c r="P27" s="298" t="n"/>
      <c r="Q27" s="298" t="n"/>
      <c r="R27" s="299" t="n"/>
      <c r="S27" s="299" t="n"/>
      <c r="T27" s="298" t="n"/>
      <c r="U27" s="298" t="n"/>
      <c r="V27" s="298" t="n"/>
      <c r="W27" s="298" t="n"/>
      <c r="X27" s="298" t="n"/>
      <c r="Y27" s="299" t="n"/>
      <c r="Z27" s="299" t="n"/>
      <c r="AA27" s="321" t="n"/>
      <c r="AB27" s="322" t="n"/>
      <c r="AC27" s="322" t="n"/>
      <c r="AD27" s="323" t="n"/>
      <c r="AE27" s="322" t="n"/>
      <c r="AF27" s="322" t="n"/>
      <c r="AG27" s="322" t="n"/>
      <c r="AH27" s="322" t="n"/>
      <c r="AI27" s="322" t="n"/>
      <c r="AJ27" s="322" t="n"/>
      <c r="AK27" s="322" t="n"/>
      <c r="AL27" s="322" t="n"/>
      <c r="AM27" s="322" t="n"/>
      <c r="AN27" s="322" t="n"/>
      <c r="AO27" s="322" t="n"/>
      <c r="AP27" s="322" t="n"/>
      <c r="AQ27" s="322" t="n"/>
      <c r="AR27" s="322" t="n"/>
      <c r="AS27" s="322" t="n"/>
      <c r="AT27" s="322" t="n"/>
      <c r="AU27" s="322" t="n"/>
      <c r="AV27" s="322" t="n"/>
      <c r="AW27" s="322" t="n"/>
      <c r="AX27" s="322" t="n"/>
      <c r="AY27" s="322" t="n"/>
      <c r="AZ27" s="322" t="n"/>
      <c r="BA27" s="322" t="n"/>
      <c r="BB27" s="322" t="n"/>
      <c r="BC27" s="322" t="n"/>
      <c r="BD27" s="322" t="n"/>
      <c r="BE27" s="322" t="n"/>
      <c r="BF27" s="322" t="n"/>
      <c r="BG27" s="322" t="n"/>
      <c r="BH27" s="324" t="n"/>
      <c r="BI27" s="322" t="n"/>
      <c r="BJ27" s="322" t="n"/>
      <c r="BK27" s="322" t="n"/>
      <c r="BL27" s="322" t="n"/>
      <c r="BM27" s="322" t="n"/>
      <c r="BN27" s="322" t="n"/>
      <c r="BO27" s="322" t="n"/>
      <c r="BP27" s="322" t="n"/>
      <c r="BQ27" s="322" t="n"/>
      <c r="BR27" s="322" t="n"/>
      <c r="BS27" s="322" t="n"/>
      <c r="BT27" s="322" t="n"/>
      <c r="BU27" s="322" t="n"/>
      <c r="BV27" s="322" t="n"/>
      <c r="BW27" s="322" t="n"/>
      <c r="BX27" s="322" t="n"/>
      <c r="BY27" s="322" t="n"/>
      <c r="BZ27" s="322" t="n"/>
      <c r="CA27" s="322" t="n"/>
      <c r="CB27" s="322" t="n"/>
      <c r="CC27" s="322" t="n"/>
      <c r="CD27" s="322" t="n"/>
      <c r="CE27" s="322" t="n"/>
      <c r="CF27" s="322" t="n"/>
      <c r="CG27" s="322" t="n"/>
      <c r="CH27" s="322" t="n"/>
      <c r="CI27" s="322" t="n"/>
      <c r="CJ27" s="322" t="n"/>
      <c r="CK27" s="322" t="n"/>
      <c r="CL27" s="322" t="n"/>
      <c r="CM27" s="322" t="n"/>
      <c r="CN27" s="322" t="n"/>
      <c r="CO27" s="322" t="n"/>
      <c r="CP27" s="322" t="n"/>
      <c r="CQ27" s="322" t="n"/>
      <c r="CR27" s="322" t="n"/>
      <c r="CS27" s="322" t="n"/>
      <c r="CT27" s="322" t="n"/>
      <c r="CU27" s="322" t="n"/>
      <c r="CV27" s="322" t="n"/>
      <c r="CW27" s="322" t="n"/>
      <c r="CX27" s="322" t="n"/>
      <c r="CY27" s="322" t="n"/>
      <c r="CZ27" s="322" t="n"/>
      <c r="DA27" s="322" t="n"/>
      <c r="DB27" s="322" t="n"/>
      <c r="DC27" s="322" t="n"/>
      <c r="DD27" s="322" t="n"/>
      <c r="DE27" s="322" t="n"/>
      <c r="DF27" s="322" t="n"/>
      <c r="DG27" s="322" t="n"/>
      <c r="DH27" s="322" t="n"/>
      <c r="DI27" s="322" t="n"/>
      <c r="DJ27" s="322" t="n"/>
      <c r="DK27" s="322" t="n"/>
      <c r="DL27" s="322" t="n"/>
      <c r="DM27" s="322" t="n"/>
      <c r="DN27" s="322" t="n"/>
      <c r="DO27" s="322" t="n"/>
      <c r="DP27" s="322" t="n"/>
      <c r="DQ27" s="325" t="n"/>
    </row>
    <row r="28" ht="20" customHeight="1" s="236">
      <c r="A28" s="291" t="n">
        <v>19</v>
      </c>
      <c r="B28" s="292" t="inlineStr">
        <is>
          <t>進捗管理移管</t>
        </is>
      </c>
      <c r="C28" s="320" t="inlineStr">
        <is>
          <t>実運用</t>
        </is>
      </c>
      <c r="D28" s="294" t="n">
        <v>46300</v>
      </c>
      <c r="E28" s="294" t="n">
        <v>46387</v>
      </c>
      <c r="F28" s="295">
        <f>E28-D28+1</f>
        <v/>
      </c>
      <c r="G28" s="296" t="n">
        <v>0</v>
      </c>
      <c r="H28" s="298" t="n"/>
      <c r="I28" s="298" t="n"/>
      <c r="J28" s="298" t="n"/>
      <c r="K28" s="299" t="n"/>
      <c r="L28" s="299" t="n"/>
      <c r="M28" s="298" t="n"/>
      <c r="N28" s="298" t="n"/>
      <c r="O28" s="298" t="n"/>
      <c r="P28" s="298" t="n"/>
      <c r="Q28" s="298" t="n"/>
      <c r="R28" s="299" t="n"/>
      <c r="S28" s="299" t="n"/>
      <c r="T28" s="298" t="n"/>
      <c r="U28" s="298" t="n"/>
      <c r="V28" s="298" t="n"/>
      <c r="W28" s="298" t="n"/>
      <c r="X28" s="298" t="n"/>
      <c r="Y28" s="299" t="n"/>
      <c r="Z28" s="299" t="n"/>
      <c r="AA28" s="300" t="n"/>
      <c r="AB28" s="298" t="n"/>
      <c r="AC28" s="298" t="n"/>
      <c r="AD28" s="301" t="n"/>
      <c r="AE28" s="298" t="n"/>
      <c r="AF28" s="299" t="n"/>
      <c r="AG28" s="299" t="n"/>
      <c r="AH28" s="322" t="n"/>
      <c r="AI28" s="322" t="n"/>
      <c r="AJ28" s="322" t="n"/>
      <c r="AK28" s="322" t="n"/>
      <c r="AL28" s="322" t="n"/>
      <c r="AM28" s="322" t="n"/>
      <c r="AN28" s="322" t="n"/>
      <c r="AO28" s="322" t="n"/>
      <c r="AP28" s="322" t="n"/>
      <c r="AQ28" s="322" t="n"/>
      <c r="AR28" s="322" t="n"/>
      <c r="AS28" s="322" t="n"/>
      <c r="AT28" s="322" t="n"/>
      <c r="AU28" s="322" t="n"/>
      <c r="AV28" s="322" t="n"/>
      <c r="AW28" s="322" t="n"/>
      <c r="AX28" s="322" t="n"/>
      <c r="AY28" s="322" t="n"/>
      <c r="AZ28" s="322" t="n"/>
      <c r="BA28" s="322" t="n"/>
      <c r="BB28" s="322" t="n"/>
      <c r="BC28" s="322" t="n"/>
      <c r="BD28" s="322" t="n"/>
      <c r="BE28" s="322" t="n"/>
      <c r="BF28" s="322" t="n"/>
      <c r="BG28" s="322" t="n"/>
      <c r="BH28" s="324" t="n"/>
      <c r="BI28" s="322" t="n"/>
      <c r="BJ28" s="322" t="n"/>
      <c r="BK28" s="322" t="n"/>
      <c r="BL28" s="322" t="n"/>
      <c r="BM28" s="322" t="n"/>
      <c r="BN28" s="322" t="n"/>
      <c r="BO28" s="322" t="n"/>
      <c r="BP28" s="322" t="n"/>
      <c r="BQ28" s="322" t="n"/>
      <c r="BR28" s="322" t="n"/>
      <c r="BS28" s="322" t="n"/>
      <c r="BT28" s="322" t="n"/>
      <c r="BU28" s="322" t="n"/>
      <c r="BV28" s="322" t="n"/>
      <c r="BW28" s="322" t="n"/>
      <c r="BX28" s="322" t="n"/>
      <c r="BY28" s="322" t="n"/>
      <c r="BZ28" s="322" t="n"/>
      <c r="CA28" s="322" t="n"/>
      <c r="CB28" s="322" t="n"/>
      <c r="CC28" s="322" t="n"/>
      <c r="CD28" s="322" t="n"/>
      <c r="CE28" s="322" t="n"/>
      <c r="CF28" s="322" t="n"/>
      <c r="CG28" s="322" t="n"/>
      <c r="CH28" s="322" t="n"/>
      <c r="CI28" s="322" t="n"/>
      <c r="CJ28" s="322" t="n"/>
      <c r="CK28" s="322" t="n"/>
      <c r="CL28" s="322" t="n"/>
      <c r="CM28" s="322" t="n"/>
      <c r="CN28" s="322" t="n"/>
      <c r="CO28" s="322" t="n"/>
      <c r="CP28" s="322" t="n"/>
      <c r="CQ28" s="322" t="n"/>
      <c r="CR28" s="322" t="n"/>
      <c r="CS28" s="322" t="n"/>
      <c r="CT28" s="322" t="n"/>
      <c r="CU28" s="322" t="n"/>
      <c r="CV28" s="322" t="n"/>
      <c r="CW28" s="322" t="n"/>
      <c r="CX28" s="322" t="n"/>
      <c r="CY28" s="322" t="n"/>
      <c r="CZ28" s="322" t="n"/>
      <c r="DA28" s="322" t="n"/>
      <c r="DB28" s="322" t="n"/>
      <c r="DC28" s="322" t="n"/>
      <c r="DD28" s="322" t="n"/>
      <c r="DE28" s="322" t="n"/>
      <c r="DF28" s="322" t="n"/>
      <c r="DG28" s="322" t="n"/>
      <c r="DH28" s="322" t="n"/>
      <c r="DI28" s="322" t="n"/>
      <c r="DJ28" s="322" t="n"/>
      <c r="DK28" s="322" t="n"/>
      <c r="DL28" s="322" t="n"/>
      <c r="DM28" s="322" t="n"/>
      <c r="DN28" s="322" t="n"/>
      <c r="DO28" s="322" t="n"/>
      <c r="DP28" s="322" t="n"/>
      <c r="DQ28" s="325" t="n"/>
    </row>
    <row r="29" ht="20" customHeight="1" s="236">
      <c r="A29" s="291" t="n">
        <v>20</v>
      </c>
      <c r="B29" s="292" t="inlineStr">
        <is>
          <t>バックアップ設定</t>
        </is>
      </c>
      <c r="C29" s="328" t="inlineStr">
        <is>
          <t>検証</t>
        </is>
      </c>
      <c r="D29" s="294" t="n">
        <v>46314</v>
      </c>
      <c r="E29" s="294" t="n">
        <v>46369</v>
      </c>
      <c r="F29" s="295">
        <f>E29-D29+1</f>
        <v/>
      </c>
      <c r="G29" s="296" t="n">
        <v>0</v>
      </c>
      <c r="H29" s="298" t="n"/>
      <c r="I29" s="298" t="n"/>
      <c r="J29" s="298" t="n"/>
      <c r="K29" s="299" t="n"/>
      <c r="L29" s="299" t="n"/>
      <c r="M29" s="298" t="n"/>
      <c r="N29" s="298" t="n"/>
      <c r="O29" s="298" t="n"/>
      <c r="P29" s="298" t="n"/>
      <c r="Q29" s="298" t="n"/>
      <c r="R29" s="299" t="n"/>
      <c r="S29" s="299" t="n"/>
      <c r="T29" s="298" t="n"/>
      <c r="U29" s="298" t="n"/>
      <c r="V29" s="298" t="n"/>
      <c r="W29" s="298" t="n"/>
      <c r="X29" s="298" t="n"/>
      <c r="Y29" s="299" t="n"/>
      <c r="Z29" s="299" t="n"/>
      <c r="AA29" s="300" t="n"/>
      <c r="AB29" s="298" t="n"/>
      <c r="AC29" s="298" t="n"/>
      <c r="AD29" s="301" t="n"/>
      <c r="AE29" s="298" t="n"/>
      <c r="AF29" s="299" t="n"/>
      <c r="AG29" s="299" t="n"/>
      <c r="AH29" s="298" t="n"/>
      <c r="AI29" s="298" t="n"/>
      <c r="AJ29" s="298" t="n"/>
      <c r="AK29" s="298" t="n"/>
      <c r="AL29" s="298" t="n"/>
      <c r="AM29" s="299" t="n"/>
      <c r="AN29" s="299" t="n"/>
      <c r="AO29" s="298" t="n"/>
      <c r="AP29" s="298" t="n"/>
      <c r="AQ29" s="298" t="n"/>
      <c r="AR29" s="298" t="n"/>
      <c r="AS29" s="298" t="n"/>
      <c r="AT29" s="299" t="n"/>
      <c r="AU29" s="299" t="n"/>
      <c r="AV29" s="330" t="n"/>
      <c r="AW29" s="330" t="n"/>
      <c r="AX29" s="330" t="n"/>
      <c r="AY29" s="330" t="n"/>
      <c r="AZ29" s="330" t="n"/>
      <c r="BA29" s="330" t="n"/>
      <c r="BB29" s="330" t="n"/>
      <c r="BC29" s="330" t="n"/>
      <c r="BD29" s="330" t="n"/>
      <c r="BE29" s="330" t="n"/>
      <c r="BF29" s="330" t="n"/>
      <c r="BG29" s="330" t="n"/>
      <c r="BH29" s="332" t="n"/>
      <c r="BI29" s="330" t="n"/>
      <c r="BJ29" s="330" t="n"/>
      <c r="BK29" s="330" t="n"/>
      <c r="BL29" s="330" t="n"/>
      <c r="BM29" s="330" t="n"/>
      <c r="BN29" s="330" t="n"/>
      <c r="BO29" s="330" t="n"/>
      <c r="BP29" s="330" t="n"/>
      <c r="BQ29" s="330" t="n"/>
      <c r="BR29" s="330" t="n"/>
      <c r="BS29" s="330" t="n"/>
      <c r="BT29" s="330" t="n"/>
      <c r="BU29" s="330" t="n"/>
      <c r="BV29" s="330" t="n"/>
      <c r="BW29" s="330" t="n"/>
      <c r="BX29" s="330" t="n"/>
      <c r="BY29" s="330" t="n"/>
      <c r="BZ29" s="330" t="n"/>
      <c r="CA29" s="330" t="n"/>
      <c r="CB29" s="330" t="n"/>
      <c r="CC29" s="330" t="n"/>
      <c r="CD29" s="330" t="n"/>
      <c r="CE29" s="330" t="n"/>
      <c r="CF29" s="330" t="n"/>
      <c r="CG29" s="330" t="n"/>
      <c r="CH29" s="330" t="n"/>
      <c r="CI29" s="330" t="n"/>
      <c r="CJ29" s="330" t="n"/>
      <c r="CK29" s="330" t="n"/>
      <c r="CL29" s="330" t="n"/>
      <c r="CM29" s="330" t="n"/>
      <c r="CN29" s="330" t="n"/>
      <c r="CO29" s="330" t="n"/>
      <c r="CP29" s="330" t="n"/>
      <c r="CQ29" s="330" t="n"/>
      <c r="CR29" s="330" t="n"/>
      <c r="CS29" s="330" t="n"/>
      <c r="CT29" s="330" t="n"/>
      <c r="CU29" s="330" t="n"/>
      <c r="CV29" s="330" t="n"/>
      <c r="CW29" s="330" t="n"/>
      <c r="CX29" s="330" t="n"/>
      <c r="CY29" s="330" t="n"/>
      <c r="CZ29" s="298" t="n"/>
      <c r="DA29" s="298" t="n"/>
      <c r="DB29" s="298" t="n"/>
      <c r="DC29" s="298" t="n"/>
      <c r="DD29" s="298" t="n"/>
      <c r="DE29" s="299" t="n"/>
      <c r="DF29" s="299" t="n"/>
      <c r="DG29" s="298" t="n"/>
      <c r="DH29" s="298" t="n"/>
      <c r="DI29" s="298" t="n"/>
      <c r="DJ29" s="298" t="n"/>
      <c r="DK29" s="298" t="n"/>
      <c r="DL29" s="299" t="n"/>
      <c r="DM29" s="299" t="n"/>
      <c r="DN29" s="298" t="n"/>
      <c r="DO29" s="298" t="n"/>
      <c r="DP29" s="298" t="n"/>
      <c r="DQ29" s="303" t="n"/>
    </row>
    <row r="30" ht="20" customHeight="1" s="236">
      <c r="A30" s="291" t="n">
        <v>21</v>
      </c>
      <c r="B30" s="292" t="inlineStr">
        <is>
          <t>処理能力再計算</t>
        </is>
      </c>
      <c r="C30" s="328" t="inlineStr">
        <is>
          <t>検証</t>
        </is>
      </c>
      <c r="D30" s="294" t="n">
        <v>46286</v>
      </c>
      <c r="E30" s="294" t="n">
        <v>46387</v>
      </c>
      <c r="F30" s="295">
        <f>E30-D30+1</f>
        <v/>
      </c>
      <c r="G30" s="296" t="n">
        <v>0</v>
      </c>
      <c r="H30" s="298" t="n"/>
      <c r="I30" s="298" t="n"/>
      <c r="J30" s="298" t="n"/>
      <c r="K30" s="299" t="n"/>
      <c r="L30" s="299" t="n"/>
      <c r="M30" s="298" t="n"/>
      <c r="N30" s="298" t="n"/>
      <c r="O30" s="298" t="n"/>
      <c r="P30" s="298" t="n"/>
      <c r="Q30" s="298" t="n"/>
      <c r="R30" s="299" t="n"/>
      <c r="S30" s="299" t="n"/>
      <c r="T30" s="330" t="n"/>
      <c r="U30" s="330" t="n"/>
      <c r="V30" s="330" t="n"/>
      <c r="W30" s="330" t="n"/>
      <c r="X30" s="330" t="n"/>
      <c r="Y30" s="330" t="n"/>
      <c r="Z30" s="330" t="n"/>
      <c r="AA30" s="329" t="n"/>
      <c r="AB30" s="330" t="n"/>
      <c r="AC30" s="330" t="n"/>
      <c r="AD30" s="331" t="n"/>
      <c r="AE30" s="330" t="n"/>
      <c r="AF30" s="330" t="n"/>
      <c r="AG30" s="330" t="n"/>
      <c r="AH30" s="330" t="n"/>
      <c r="AI30" s="330" t="n"/>
      <c r="AJ30" s="330" t="n"/>
      <c r="AK30" s="330" t="n"/>
      <c r="AL30" s="330" t="n"/>
      <c r="AM30" s="330" t="n"/>
      <c r="AN30" s="330" t="n"/>
      <c r="AO30" s="330" t="n"/>
      <c r="AP30" s="330" t="n"/>
      <c r="AQ30" s="330" t="n"/>
      <c r="AR30" s="330" t="n"/>
      <c r="AS30" s="330" t="n"/>
      <c r="AT30" s="330" t="n"/>
      <c r="AU30" s="330" t="n"/>
      <c r="AV30" s="330" t="n"/>
      <c r="AW30" s="330" t="n"/>
      <c r="AX30" s="330" t="n"/>
      <c r="AY30" s="330" t="n"/>
      <c r="AZ30" s="330" t="n"/>
      <c r="BA30" s="330" t="n"/>
      <c r="BB30" s="330" t="n"/>
      <c r="BC30" s="330" t="n"/>
      <c r="BD30" s="330" t="n"/>
      <c r="BE30" s="330" t="n"/>
      <c r="BF30" s="330" t="n"/>
      <c r="BG30" s="330" t="n"/>
      <c r="BH30" s="332" t="n"/>
      <c r="BI30" s="330" t="n"/>
      <c r="BJ30" s="330" t="n"/>
      <c r="BK30" s="330" t="n"/>
      <c r="BL30" s="330" t="n"/>
      <c r="BM30" s="330" t="n"/>
      <c r="BN30" s="330" t="n"/>
      <c r="BO30" s="330" t="n"/>
      <c r="BP30" s="330" t="n"/>
      <c r="BQ30" s="330" t="n"/>
      <c r="BR30" s="330" t="n"/>
      <c r="BS30" s="330" t="n"/>
      <c r="BT30" s="330" t="n"/>
      <c r="BU30" s="330" t="n"/>
      <c r="BV30" s="330" t="n"/>
      <c r="BW30" s="330" t="n"/>
      <c r="BX30" s="330" t="n"/>
      <c r="BY30" s="330" t="n"/>
      <c r="BZ30" s="330" t="n"/>
      <c r="CA30" s="330" t="n"/>
      <c r="CB30" s="330" t="n"/>
      <c r="CC30" s="330" t="n"/>
      <c r="CD30" s="330" t="n"/>
      <c r="CE30" s="330" t="n"/>
      <c r="CF30" s="330" t="n"/>
      <c r="CG30" s="330" t="n"/>
      <c r="CH30" s="330" t="n"/>
      <c r="CI30" s="330" t="n"/>
      <c r="CJ30" s="330" t="n"/>
      <c r="CK30" s="330" t="n"/>
      <c r="CL30" s="330" t="n"/>
      <c r="CM30" s="330" t="n"/>
      <c r="CN30" s="330" t="n"/>
      <c r="CO30" s="330" t="n"/>
      <c r="CP30" s="330" t="n"/>
      <c r="CQ30" s="330" t="n"/>
      <c r="CR30" s="330" t="n"/>
      <c r="CS30" s="330" t="n"/>
      <c r="CT30" s="330" t="n"/>
      <c r="CU30" s="330" t="n"/>
      <c r="CV30" s="330" t="n"/>
      <c r="CW30" s="330" t="n"/>
      <c r="CX30" s="330" t="n"/>
      <c r="CY30" s="330" t="n"/>
      <c r="CZ30" s="330" t="n"/>
      <c r="DA30" s="330" t="n"/>
      <c r="DB30" s="330" t="n"/>
      <c r="DC30" s="330" t="n"/>
      <c r="DD30" s="330" t="n"/>
      <c r="DE30" s="330" t="n"/>
      <c r="DF30" s="330" t="n"/>
      <c r="DG30" s="330" t="n"/>
      <c r="DH30" s="330" t="n"/>
      <c r="DI30" s="330" t="n"/>
      <c r="DJ30" s="330" t="n"/>
      <c r="DK30" s="330" t="n"/>
      <c r="DL30" s="330" t="n"/>
      <c r="DM30" s="330" t="n"/>
      <c r="DN30" s="330" t="n"/>
      <c r="DO30" s="330" t="n"/>
      <c r="DP30" s="330" t="n"/>
      <c r="DQ30" s="333" t="n"/>
    </row>
    <row r="31" ht="20" customHeight="1" s="236">
      <c r="A31" s="291" t="n">
        <v>22</v>
      </c>
      <c r="B31" s="292" t="inlineStr">
        <is>
          <t>10月総括</t>
        </is>
      </c>
      <c r="C31" s="328" t="inlineStr">
        <is>
          <t>検証</t>
        </is>
      </c>
      <c r="D31" s="294" t="n">
        <v>46321</v>
      </c>
      <c r="E31" s="294" t="n">
        <v>46326</v>
      </c>
      <c r="F31" s="295">
        <f>E31-D31+1</f>
        <v/>
      </c>
      <c r="G31" s="296" t="n">
        <v>0</v>
      </c>
      <c r="H31" s="298" t="n"/>
      <c r="I31" s="298" t="n"/>
      <c r="J31" s="298" t="n"/>
      <c r="K31" s="299" t="n"/>
      <c r="L31" s="299" t="n"/>
      <c r="M31" s="298" t="n"/>
      <c r="N31" s="298" t="n"/>
      <c r="O31" s="298" t="n"/>
      <c r="P31" s="298" t="n"/>
      <c r="Q31" s="298" t="n"/>
      <c r="R31" s="299" t="n"/>
      <c r="S31" s="299" t="n"/>
      <c r="T31" s="298" t="n"/>
      <c r="U31" s="298" t="n"/>
      <c r="V31" s="298" t="n"/>
      <c r="W31" s="298" t="n"/>
      <c r="X31" s="298" t="n"/>
      <c r="Y31" s="299" t="n"/>
      <c r="Z31" s="299" t="n"/>
      <c r="AA31" s="300" t="n"/>
      <c r="AB31" s="298" t="n"/>
      <c r="AC31" s="298" t="n"/>
      <c r="AD31" s="301" t="n"/>
      <c r="AE31" s="298" t="n"/>
      <c r="AF31" s="299" t="n"/>
      <c r="AG31" s="299" t="n"/>
      <c r="AH31" s="298" t="n"/>
      <c r="AI31" s="298" t="n"/>
      <c r="AJ31" s="298" t="n"/>
      <c r="AK31" s="298" t="n"/>
      <c r="AL31" s="298" t="n"/>
      <c r="AM31" s="299" t="n"/>
      <c r="AN31" s="299" t="n"/>
      <c r="AO31" s="298" t="n"/>
      <c r="AP31" s="298" t="n"/>
      <c r="AQ31" s="298" t="n"/>
      <c r="AR31" s="298" t="n"/>
      <c r="AS31" s="298" t="n"/>
      <c r="AT31" s="299" t="n"/>
      <c r="AU31" s="299" t="n"/>
      <c r="AV31" s="298" t="n"/>
      <c r="AW31" s="298" t="n"/>
      <c r="AX31" s="298" t="n"/>
      <c r="AY31" s="298" t="n"/>
      <c r="AZ31" s="298" t="n"/>
      <c r="BA31" s="299" t="n"/>
      <c r="BB31" s="299" t="n"/>
      <c r="BC31" s="330" t="n"/>
      <c r="BD31" s="330" t="n"/>
      <c r="BE31" s="330" t="n"/>
      <c r="BF31" s="330" t="n"/>
      <c r="BG31" s="330" t="n"/>
      <c r="BH31" s="332" t="n"/>
      <c r="BI31" s="299" t="n"/>
      <c r="BJ31" s="298" t="n"/>
      <c r="BK31" s="298" t="n"/>
      <c r="BL31" s="298" t="n"/>
      <c r="BM31" s="298" t="n"/>
      <c r="BN31" s="298" t="n"/>
      <c r="BO31" s="299" t="n"/>
      <c r="BP31" s="299" t="n"/>
      <c r="BQ31" s="298" t="n"/>
      <c r="BR31" s="298" t="n"/>
      <c r="BS31" s="298" t="n"/>
      <c r="BT31" s="298" t="n"/>
      <c r="BU31" s="298" t="n"/>
      <c r="BV31" s="299" t="n"/>
      <c r="BW31" s="299" t="n"/>
      <c r="BX31" s="298" t="n"/>
      <c r="BY31" s="298" t="n"/>
      <c r="BZ31" s="298" t="n"/>
      <c r="CA31" s="298" t="n"/>
      <c r="CB31" s="298" t="n"/>
      <c r="CC31" s="299" t="n"/>
      <c r="CD31" s="299" t="n"/>
      <c r="CE31" s="298" t="n"/>
      <c r="CF31" s="298" t="n"/>
      <c r="CG31" s="298" t="n"/>
      <c r="CH31" s="298" t="n"/>
      <c r="CI31" s="298" t="n"/>
      <c r="CJ31" s="299" t="n"/>
      <c r="CK31" s="299" t="n"/>
      <c r="CL31" s="298" t="n"/>
      <c r="CM31" s="298" t="n"/>
      <c r="CN31" s="298" t="n"/>
      <c r="CO31" s="298" t="n"/>
      <c r="CP31" s="298" t="n"/>
      <c r="CQ31" s="299" t="n"/>
      <c r="CR31" s="299" t="n"/>
      <c r="CS31" s="298" t="n"/>
      <c r="CT31" s="298" t="n"/>
      <c r="CU31" s="298" t="n"/>
      <c r="CV31" s="298" t="n"/>
      <c r="CW31" s="298" t="n"/>
      <c r="CX31" s="299" t="n"/>
      <c r="CY31" s="299" t="n"/>
      <c r="CZ31" s="298" t="n"/>
      <c r="DA31" s="298" t="n"/>
      <c r="DB31" s="298" t="n"/>
      <c r="DC31" s="298" t="n"/>
      <c r="DD31" s="298" t="n"/>
      <c r="DE31" s="299" t="n"/>
      <c r="DF31" s="299" t="n"/>
      <c r="DG31" s="298" t="n"/>
      <c r="DH31" s="298" t="n"/>
      <c r="DI31" s="298" t="n"/>
      <c r="DJ31" s="298" t="n"/>
      <c r="DK31" s="298" t="n"/>
      <c r="DL31" s="299" t="n"/>
      <c r="DM31" s="299" t="n"/>
      <c r="DN31" s="298" t="n"/>
      <c r="DO31" s="298" t="n"/>
      <c r="DP31" s="298" t="n"/>
      <c r="DQ31" s="303" t="n"/>
    </row>
    <row r="32" ht="20" customHeight="1" s="236">
      <c r="A32" s="291" t="n">
        <v>23</v>
      </c>
      <c r="B32" s="292" t="inlineStr">
        <is>
          <t>年末調整 準備・対象確認</t>
        </is>
      </c>
      <c r="C32" s="320" t="inlineStr">
        <is>
          <t>実運用</t>
        </is>
      </c>
      <c r="D32" s="294" t="n">
        <v>46335</v>
      </c>
      <c r="E32" s="294" t="n">
        <v>46355</v>
      </c>
      <c r="F32" s="295">
        <f>E32-D32+1</f>
        <v/>
      </c>
      <c r="G32" s="296" t="n">
        <v>0</v>
      </c>
      <c r="H32" s="298" t="n"/>
      <c r="I32" s="298" t="n"/>
      <c r="J32" s="298" t="n"/>
      <c r="K32" s="299" t="n"/>
      <c r="L32" s="299" t="n"/>
      <c r="M32" s="298" t="n"/>
      <c r="N32" s="298" t="n"/>
      <c r="O32" s="298" t="n"/>
      <c r="P32" s="298" t="n"/>
      <c r="Q32" s="298" t="n"/>
      <c r="R32" s="299" t="n"/>
      <c r="S32" s="299" t="n"/>
      <c r="T32" s="298" t="n"/>
      <c r="U32" s="298" t="n"/>
      <c r="V32" s="298" t="n"/>
      <c r="W32" s="298" t="n"/>
      <c r="X32" s="298" t="n"/>
      <c r="Y32" s="299" t="n"/>
      <c r="Z32" s="299" t="n"/>
      <c r="AA32" s="300" t="n"/>
      <c r="AB32" s="298" t="n"/>
      <c r="AC32" s="298" t="n"/>
      <c r="AD32" s="301" t="n"/>
      <c r="AE32" s="298" t="n"/>
      <c r="AF32" s="299" t="n"/>
      <c r="AG32" s="299" t="n"/>
      <c r="AH32" s="298" t="n"/>
      <c r="AI32" s="298" t="n"/>
      <c r="AJ32" s="298" t="n"/>
      <c r="AK32" s="298" t="n"/>
      <c r="AL32" s="298" t="n"/>
      <c r="AM32" s="299" t="n"/>
      <c r="AN32" s="299" t="n"/>
      <c r="AO32" s="298" t="n"/>
      <c r="AP32" s="298" t="n"/>
      <c r="AQ32" s="298" t="n"/>
      <c r="AR32" s="298" t="n"/>
      <c r="AS32" s="298" t="n"/>
      <c r="AT32" s="299" t="n"/>
      <c r="AU32" s="299" t="n"/>
      <c r="AV32" s="298" t="n"/>
      <c r="AW32" s="298" t="n"/>
      <c r="AX32" s="298" t="n"/>
      <c r="AY32" s="298" t="n"/>
      <c r="AZ32" s="298" t="n"/>
      <c r="BA32" s="299" t="n"/>
      <c r="BB32" s="299" t="n"/>
      <c r="BC32" s="298" t="n"/>
      <c r="BD32" s="298" t="n"/>
      <c r="BE32" s="298" t="n"/>
      <c r="BF32" s="298" t="n"/>
      <c r="BG32" s="298" t="n"/>
      <c r="BH32" s="302" t="n"/>
      <c r="BI32" s="299" t="n"/>
      <c r="BJ32" s="298" t="n"/>
      <c r="BK32" s="298" t="n"/>
      <c r="BL32" s="298" t="n"/>
      <c r="BM32" s="298" t="n"/>
      <c r="BN32" s="298" t="n"/>
      <c r="BO32" s="299" t="n"/>
      <c r="BP32" s="299" t="n"/>
      <c r="BQ32" s="322" t="n"/>
      <c r="BR32" s="322" t="n"/>
      <c r="BS32" s="322" t="n"/>
      <c r="BT32" s="322" t="n"/>
      <c r="BU32" s="322" t="n"/>
      <c r="BV32" s="322" t="n"/>
      <c r="BW32" s="322" t="n"/>
      <c r="BX32" s="322" t="n"/>
      <c r="BY32" s="322" t="n"/>
      <c r="BZ32" s="322" t="n"/>
      <c r="CA32" s="322" t="n"/>
      <c r="CB32" s="322" t="n"/>
      <c r="CC32" s="322" t="n"/>
      <c r="CD32" s="322" t="n"/>
      <c r="CE32" s="322" t="n"/>
      <c r="CF32" s="322" t="n"/>
      <c r="CG32" s="322" t="n"/>
      <c r="CH32" s="322" t="n"/>
      <c r="CI32" s="322" t="n"/>
      <c r="CJ32" s="322" t="n"/>
      <c r="CK32" s="322" t="n"/>
      <c r="CL32" s="298" t="n"/>
      <c r="CM32" s="298" t="n"/>
      <c r="CN32" s="298" t="n"/>
      <c r="CO32" s="298" t="n"/>
      <c r="CP32" s="298" t="n"/>
      <c r="CQ32" s="299" t="n"/>
      <c r="CR32" s="299" t="n"/>
      <c r="CS32" s="298" t="n"/>
      <c r="CT32" s="298" t="n"/>
      <c r="CU32" s="298" t="n"/>
      <c r="CV32" s="298" t="n"/>
      <c r="CW32" s="298" t="n"/>
      <c r="CX32" s="299" t="n"/>
      <c r="CY32" s="299" t="n"/>
      <c r="CZ32" s="298" t="n"/>
      <c r="DA32" s="298" t="n"/>
      <c r="DB32" s="298" t="n"/>
      <c r="DC32" s="298" t="n"/>
      <c r="DD32" s="298" t="n"/>
      <c r="DE32" s="299" t="n"/>
      <c r="DF32" s="299" t="n"/>
      <c r="DG32" s="298" t="n"/>
      <c r="DH32" s="298" t="n"/>
      <c r="DI32" s="298" t="n"/>
      <c r="DJ32" s="298" t="n"/>
      <c r="DK32" s="298" t="n"/>
      <c r="DL32" s="299" t="n"/>
      <c r="DM32" s="299" t="n"/>
      <c r="DN32" s="298" t="n"/>
      <c r="DO32" s="298" t="n"/>
      <c r="DP32" s="298" t="n"/>
      <c r="DQ32" s="303" t="n"/>
    </row>
    <row r="33" ht="20" customHeight="1" s="236">
      <c r="A33" s="291" t="n">
        <v>24</v>
      </c>
      <c r="B33" s="292" t="inlineStr">
        <is>
          <t>11月総括</t>
        </is>
      </c>
      <c r="C33" s="328" t="inlineStr">
        <is>
          <t>検証</t>
        </is>
      </c>
      <c r="D33" s="294" t="n">
        <v>46349</v>
      </c>
      <c r="E33" s="294" t="n">
        <v>46355</v>
      </c>
      <c r="F33" s="295">
        <f>E33-D33+1</f>
        <v/>
      </c>
      <c r="G33" s="296" t="n">
        <v>0</v>
      </c>
      <c r="H33" s="298" t="n"/>
      <c r="I33" s="298" t="n"/>
      <c r="J33" s="298" t="n"/>
      <c r="K33" s="299" t="n"/>
      <c r="L33" s="299" t="n"/>
      <c r="M33" s="298" t="n"/>
      <c r="N33" s="298" t="n"/>
      <c r="O33" s="298" t="n"/>
      <c r="P33" s="298" t="n"/>
      <c r="Q33" s="298" t="n"/>
      <c r="R33" s="299" t="n"/>
      <c r="S33" s="299" t="n"/>
      <c r="T33" s="298" t="n"/>
      <c r="U33" s="298" t="n"/>
      <c r="V33" s="298" t="n"/>
      <c r="W33" s="298" t="n"/>
      <c r="X33" s="298" t="n"/>
      <c r="Y33" s="299" t="n"/>
      <c r="Z33" s="299" t="n"/>
      <c r="AA33" s="300" t="n"/>
      <c r="AB33" s="298" t="n"/>
      <c r="AC33" s="298" t="n"/>
      <c r="AD33" s="301" t="n"/>
      <c r="AE33" s="298" t="n"/>
      <c r="AF33" s="299" t="n"/>
      <c r="AG33" s="299" t="n"/>
      <c r="AH33" s="298" t="n"/>
      <c r="AI33" s="298" t="n"/>
      <c r="AJ33" s="298" t="n"/>
      <c r="AK33" s="298" t="n"/>
      <c r="AL33" s="298" t="n"/>
      <c r="AM33" s="299" t="n"/>
      <c r="AN33" s="299" t="n"/>
      <c r="AO33" s="298" t="n"/>
      <c r="AP33" s="298" t="n"/>
      <c r="AQ33" s="298" t="n"/>
      <c r="AR33" s="298" t="n"/>
      <c r="AS33" s="298" t="n"/>
      <c r="AT33" s="299" t="n"/>
      <c r="AU33" s="299" t="n"/>
      <c r="AV33" s="298" t="n"/>
      <c r="AW33" s="298" t="n"/>
      <c r="AX33" s="298" t="n"/>
      <c r="AY33" s="298" t="n"/>
      <c r="AZ33" s="298" t="n"/>
      <c r="BA33" s="299" t="n"/>
      <c r="BB33" s="299" t="n"/>
      <c r="BC33" s="298" t="n"/>
      <c r="BD33" s="298" t="n"/>
      <c r="BE33" s="298" t="n"/>
      <c r="BF33" s="298" t="n"/>
      <c r="BG33" s="298" t="n"/>
      <c r="BH33" s="302" t="n"/>
      <c r="BI33" s="299" t="n"/>
      <c r="BJ33" s="298" t="n"/>
      <c r="BK33" s="298" t="n"/>
      <c r="BL33" s="298" t="n"/>
      <c r="BM33" s="298" t="n"/>
      <c r="BN33" s="298" t="n"/>
      <c r="BO33" s="299" t="n"/>
      <c r="BP33" s="299" t="n"/>
      <c r="BQ33" s="298" t="n"/>
      <c r="BR33" s="298" t="n"/>
      <c r="BS33" s="298" t="n"/>
      <c r="BT33" s="298" t="n"/>
      <c r="BU33" s="298" t="n"/>
      <c r="BV33" s="299" t="n"/>
      <c r="BW33" s="299" t="n"/>
      <c r="BX33" s="298" t="n"/>
      <c r="BY33" s="298" t="n"/>
      <c r="BZ33" s="298" t="n"/>
      <c r="CA33" s="298" t="n"/>
      <c r="CB33" s="298" t="n"/>
      <c r="CC33" s="299" t="n"/>
      <c r="CD33" s="299" t="n"/>
      <c r="CE33" s="330" t="n"/>
      <c r="CF33" s="330" t="n"/>
      <c r="CG33" s="330" t="n"/>
      <c r="CH33" s="330" t="n"/>
      <c r="CI33" s="330" t="n"/>
      <c r="CJ33" s="330" t="n"/>
      <c r="CK33" s="330" t="n"/>
      <c r="CL33" s="298" t="n"/>
      <c r="CM33" s="298" t="n"/>
      <c r="CN33" s="298" t="n"/>
      <c r="CO33" s="298" t="n"/>
      <c r="CP33" s="298" t="n"/>
      <c r="CQ33" s="299" t="n"/>
      <c r="CR33" s="299" t="n"/>
      <c r="CS33" s="298" t="n"/>
      <c r="CT33" s="298" t="n"/>
      <c r="CU33" s="298" t="n"/>
      <c r="CV33" s="298" t="n"/>
      <c r="CW33" s="298" t="n"/>
      <c r="CX33" s="299" t="n"/>
      <c r="CY33" s="299" t="n"/>
      <c r="CZ33" s="298" t="n"/>
      <c r="DA33" s="298" t="n"/>
      <c r="DB33" s="298" t="n"/>
      <c r="DC33" s="298" t="n"/>
      <c r="DD33" s="298" t="n"/>
      <c r="DE33" s="299" t="n"/>
      <c r="DF33" s="299" t="n"/>
      <c r="DG33" s="298" t="n"/>
      <c r="DH33" s="298" t="n"/>
      <c r="DI33" s="298" t="n"/>
      <c r="DJ33" s="298" t="n"/>
      <c r="DK33" s="298" t="n"/>
      <c r="DL33" s="299" t="n"/>
      <c r="DM33" s="299" t="n"/>
      <c r="DN33" s="298" t="n"/>
      <c r="DO33" s="298" t="n"/>
      <c r="DP33" s="298" t="n"/>
      <c r="DQ33" s="303" t="n"/>
    </row>
    <row r="34" ht="20" customHeight="1" s="236">
      <c r="A34" s="291" t="n">
        <v>25</v>
      </c>
      <c r="B34" s="292" t="inlineStr">
        <is>
          <t>年末調整 実施</t>
        </is>
      </c>
      <c r="C34" s="320" t="inlineStr">
        <is>
          <t>実運用</t>
        </is>
      </c>
      <c r="D34" s="294" t="n">
        <v>46356</v>
      </c>
      <c r="E34" s="294" t="n">
        <v>46376</v>
      </c>
      <c r="F34" s="295">
        <f>E34-D34+1</f>
        <v/>
      </c>
      <c r="G34" s="296" t="n">
        <v>0</v>
      </c>
      <c r="H34" s="298" t="n"/>
      <c r="I34" s="298" t="n"/>
      <c r="J34" s="298" t="n"/>
      <c r="K34" s="299" t="n"/>
      <c r="L34" s="299" t="n"/>
      <c r="M34" s="298" t="n"/>
      <c r="N34" s="298" t="n"/>
      <c r="O34" s="298" t="n"/>
      <c r="P34" s="298" t="n"/>
      <c r="Q34" s="298" t="n"/>
      <c r="R34" s="299" t="n"/>
      <c r="S34" s="299" t="n"/>
      <c r="T34" s="298" t="n"/>
      <c r="U34" s="298" t="n"/>
      <c r="V34" s="298" t="n"/>
      <c r="W34" s="298" t="n"/>
      <c r="X34" s="298" t="n"/>
      <c r="Y34" s="299" t="n"/>
      <c r="Z34" s="299" t="n"/>
      <c r="AA34" s="300" t="n"/>
      <c r="AB34" s="298" t="n"/>
      <c r="AC34" s="298" t="n"/>
      <c r="AD34" s="301" t="n"/>
      <c r="AE34" s="298" t="n"/>
      <c r="AF34" s="299" t="n"/>
      <c r="AG34" s="299" t="n"/>
      <c r="AH34" s="298" t="n"/>
      <c r="AI34" s="298" t="n"/>
      <c r="AJ34" s="298" t="n"/>
      <c r="AK34" s="298" t="n"/>
      <c r="AL34" s="298" t="n"/>
      <c r="AM34" s="299" t="n"/>
      <c r="AN34" s="299" t="n"/>
      <c r="AO34" s="298" t="n"/>
      <c r="AP34" s="298" t="n"/>
      <c r="AQ34" s="298" t="n"/>
      <c r="AR34" s="298" t="n"/>
      <c r="AS34" s="298" t="n"/>
      <c r="AT34" s="299" t="n"/>
      <c r="AU34" s="299" t="n"/>
      <c r="AV34" s="298" t="n"/>
      <c r="AW34" s="298" t="n"/>
      <c r="AX34" s="298" t="n"/>
      <c r="AY34" s="298" t="n"/>
      <c r="AZ34" s="298" t="n"/>
      <c r="BA34" s="299" t="n"/>
      <c r="BB34" s="299" t="n"/>
      <c r="BC34" s="298" t="n"/>
      <c r="BD34" s="298" t="n"/>
      <c r="BE34" s="298" t="n"/>
      <c r="BF34" s="298" t="n"/>
      <c r="BG34" s="298" t="n"/>
      <c r="BH34" s="302" t="n"/>
      <c r="BI34" s="299" t="n"/>
      <c r="BJ34" s="298" t="n"/>
      <c r="BK34" s="298" t="n"/>
      <c r="BL34" s="298" t="n"/>
      <c r="BM34" s="298" t="n"/>
      <c r="BN34" s="298" t="n"/>
      <c r="BO34" s="299" t="n"/>
      <c r="BP34" s="299" t="n"/>
      <c r="BQ34" s="298" t="n"/>
      <c r="BR34" s="298" t="n"/>
      <c r="BS34" s="298" t="n"/>
      <c r="BT34" s="298" t="n"/>
      <c r="BU34" s="298" t="n"/>
      <c r="BV34" s="299" t="n"/>
      <c r="BW34" s="299" t="n"/>
      <c r="BX34" s="298" t="n"/>
      <c r="BY34" s="298" t="n"/>
      <c r="BZ34" s="298" t="n"/>
      <c r="CA34" s="298" t="n"/>
      <c r="CB34" s="298" t="n"/>
      <c r="CC34" s="299" t="n"/>
      <c r="CD34" s="299" t="n"/>
      <c r="CE34" s="298" t="n"/>
      <c r="CF34" s="298" t="n"/>
      <c r="CG34" s="298" t="n"/>
      <c r="CH34" s="298" t="n"/>
      <c r="CI34" s="298" t="n"/>
      <c r="CJ34" s="299" t="n"/>
      <c r="CK34" s="299" t="n"/>
      <c r="CL34" s="322" t="n"/>
      <c r="CM34" s="322" t="n"/>
      <c r="CN34" s="322" t="n"/>
      <c r="CO34" s="322" t="n"/>
      <c r="CP34" s="322" t="n"/>
      <c r="CQ34" s="322" t="n"/>
      <c r="CR34" s="322" t="n"/>
      <c r="CS34" s="322" t="n"/>
      <c r="CT34" s="322" t="n"/>
      <c r="CU34" s="322" t="n"/>
      <c r="CV34" s="322" t="n"/>
      <c r="CW34" s="322" t="n"/>
      <c r="CX34" s="322" t="n"/>
      <c r="CY34" s="322" t="n"/>
      <c r="CZ34" s="322" t="n"/>
      <c r="DA34" s="322" t="n"/>
      <c r="DB34" s="322" t="n"/>
      <c r="DC34" s="322" t="n"/>
      <c r="DD34" s="322" t="n"/>
      <c r="DE34" s="322" t="n"/>
      <c r="DF34" s="322" t="n"/>
      <c r="DG34" s="298" t="n"/>
      <c r="DH34" s="298" t="n"/>
      <c r="DI34" s="298" t="n"/>
      <c r="DJ34" s="298" t="n"/>
      <c r="DK34" s="298" t="n"/>
      <c r="DL34" s="299" t="n"/>
      <c r="DM34" s="299" t="n"/>
      <c r="DN34" s="298" t="n"/>
      <c r="DO34" s="298" t="n"/>
      <c r="DP34" s="298" t="n"/>
      <c r="DQ34" s="303" t="n"/>
    </row>
    <row r="35" ht="20" customHeight="1" s="236">
      <c r="A35" s="291" t="n">
        <v>26</v>
      </c>
      <c r="B35" s="292" t="inlineStr">
        <is>
          <t>賞与計算対応</t>
        </is>
      </c>
      <c r="C35" s="320" t="inlineStr">
        <is>
          <t>実運用</t>
        </is>
      </c>
      <c r="D35" s="294" t="n">
        <v>46356</v>
      </c>
      <c r="E35" s="294" t="n">
        <v>46376</v>
      </c>
      <c r="F35" s="295">
        <f>E35-D35+1</f>
        <v/>
      </c>
      <c r="G35" s="296" t="n">
        <v>0</v>
      </c>
      <c r="H35" s="298" t="n"/>
      <c r="I35" s="298" t="n"/>
      <c r="J35" s="298" t="n"/>
      <c r="K35" s="299" t="n"/>
      <c r="L35" s="299" t="n"/>
      <c r="M35" s="298" t="n"/>
      <c r="N35" s="298" t="n"/>
      <c r="O35" s="298" t="n"/>
      <c r="P35" s="298" t="n"/>
      <c r="Q35" s="298" t="n"/>
      <c r="R35" s="299" t="n"/>
      <c r="S35" s="299" t="n"/>
      <c r="T35" s="298" t="n"/>
      <c r="U35" s="298" t="n"/>
      <c r="V35" s="298" t="n"/>
      <c r="W35" s="298" t="n"/>
      <c r="X35" s="298" t="n"/>
      <c r="Y35" s="299" t="n"/>
      <c r="Z35" s="299" t="n"/>
      <c r="AA35" s="300" t="n"/>
      <c r="AB35" s="298" t="n"/>
      <c r="AC35" s="298" t="n"/>
      <c r="AD35" s="301" t="n"/>
      <c r="AE35" s="298" t="n"/>
      <c r="AF35" s="299" t="n"/>
      <c r="AG35" s="299" t="n"/>
      <c r="AH35" s="298" t="n"/>
      <c r="AI35" s="298" t="n"/>
      <c r="AJ35" s="298" t="n"/>
      <c r="AK35" s="298" t="n"/>
      <c r="AL35" s="298" t="n"/>
      <c r="AM35" s="299" t="n"/>
      <c r="AN35" s="299" t="n"/>
      <c r="AO35" s="298" t="n"/>
      <c r="AP35" s="298" t="n"/>
      <c r="AQ35" s="298" t="n"/>
      <c r="AR35" s="298" t="n"/>
      <c r="AS35" s="298" t="n"/>
      <c r="AT35" s="299" t="n"/>
      <c r="AU35" s="299" t="n"/>
      <c r="AV35" s="298" t="n"/>
      <c r="AW35" s="298" t="n"/>
      <c r="AX35" s="298" t="n"/>
      <c r="AY35" s="298" t="n"/>
      <c r="AZ35" s="298" t="n"/>
      <c r="BA35" s="299" t="n"/>
      <c r="BB35" s="299" t="n"/>
      <c r="BC35" s="298" t="n"/>
      <c r="BD35" s="298" t="n"/>
      <c r="BE35" s="298" t="n"/>
      <c r="BF35" s="298" t="n"/>
      <c r="BG35" s="298" t="n"/>
      <c r="BH35" s="302" t="n"/>
      <c r="BI35" s="299" t="n"/>
      <c r="BJ35" s="298" t="n"/>
      <c r="BK35" s="298" t="n"/>
      <c r="BL35" s="298" t="n"/>
      <c r="BM35" s="298" t="n"/>
      <c r="BN35" s="298" t="n"/>
      <c r="BO35" s="299" t="n"/>
      <c r="BP35" s="299" t="n"/>
      <c r="BQ35" s="298" t="n"/>
      <c r="BR35" s="298" t="n"/>
      <c r="BS35" s="298" t="n"/>
      <c r="BT35" s="298" t="n"/>
      <c r="BU35" s="298" t="n"/>
      <c r="BV35" s="299" t="n"/>
      <c r="BW35" s="299" t="n"/>
      <c r="BX35" s="298" t="n"/>
      <c r="BY35" s="298" t="n"/>
      <c r="BZ35" s="298" t="n"/>
      <c r="CA35" s="298" t="n"/>
      <c r="CB35" s="298" t="n"/>
      <c r="CC35" s="299" t="n"/>
      <c r="CD35" s="299" t="n"/>
      <c r="CE35" s="298" t="n"/>
      <c r="CF35" s="298" t="n"/>
      <c r="CG35" s="298" t="n"/>
      <c r="CH35" s="298" t="n"/>
      <c r="CI35" s="298" t="n"/>
      <c r="CJ35" s="299" t="n"/>
      <c r="CK35" s="299" t="n"/>
      <c r="CL35" s="322" t="n"/>
      <c r="CM35" s="322" t="n"/>
      <c r="CN35" s="322" t="n"/>
      <c r="CO35" s="322" t="n"/>
      <c r="CP35" s="322" t="n"/>
      <c r="CQ35" s="322" t="n"/>
      <c r="CR35" s="322" t="n"/>
      <c r="CS35" s="322" t="n"/>
      <c r="CT35" s="322" t="n"/>
      <c r="CU35" s="322" t="n"/>
      <c r="CV35" s="322" t="n"/>
      <c r="CW35" s="322" t="n"/>
      <c r="CX35" s="322" t="n"/>
      <c r="CY35" s="322" t="n"/>
      <c r="CZ35" s="322" t="n"/>
      <c r="DA35" s="322" t="n"/>
      <c r="DB35" s="322" t="n"/>
      <c r="DC35" s="322" t="n"/>
      <c r="DD35" s="322" t="n"/>
      <c r="DE35" s="322" t="n"/>
      <c r="DF35" s="322" t="n"/>
      <c r="DG35" s="298" t="n"/>
      <c r="DH35" s="298" t="n"/>
      <c r="DI35" s="298" t="n"/>
      <c r="DJ35" s="298" t="n"/>
      <c r="DK35" s="298" t="n"/>
      <c r="DL35" s="299" t="n"/>
      <c r="DM35" s="299" t="n"/>
      <c r="DN35" s="298" t="n"/>
      <c r="DO35" s="298" t="n"/>
      <c r="DP35" s="298" t="n"/>
      <c r="DQ35" s="303" t="n"/>
    </row>
    <row r="36" ht="20" customHeight="1" s="236">
      <c r="A36" s="291" t="n">
        <v>27</v>
      </c>
      <c r="B36" s="292" t="inlineStr">
        <is>
          <t>年内最終 給与計算・納品</t>
        </is>
      </c>
      <c r="C36" s="320" t="inlineStr">
        <is>
          <t>実運用</t>
        </is>
      </c>
      <c r="D36" s="294" t="n">
        <v>46377</v>
      </c>
      <c r="E36" s="294" t="n">
        <v>46383</v>
      </c>
      <c r="F36" s="295">
        <f>E36-D36+1</f>
        <v/>
      </c>
      <c r="G36" s="296" t="n">
        <v>0</v>
      </c>
      <c r="H36" s="298" t="n"/>
      <c r="I36" s="298" t="n"/>
      <c r="J36" s="298" t="n"/>
      <c r="K36" s="299" t="n"/>
      <c r="L36" s="299" t="n"/>
      <c r="M36" s="298" t="n"/>
      <c r="N36" s="298" t="n"/>
      <c r="O36" s="298" t="n"/>
      <c r="P36" s="298" t="n"/>
      <c r="Q36" s="298" t="n"/>
      <c r="R36" s="299" t="n"/>
      <c r="S36" s="299" t="n"/>
      <c r="T36" s="298" t="n"/>
      <c r="U36" s="298" t="n"/>
      <c r="V36" s="298" t="n"/>
      <c r="W36" s="298" t="n"/>
      <c r="X36" s="298" t="n"/>
      <c r="Y36" s="299" t="n"/>
      <c r="Z36" s="299" t="n"/>
      <c r="AA36" s="300" t="n"/>
      <c r="AB36" s="298" t="n"/>
      <c r="AC36" s="298" t="n"/>
      <c r="AD36" s="301" t="n"/>
      <c r="AE36" s="298" t="n"/>
      <c r="AF36" s="299" t="n"/>
      <c r="AG36" s="299" t="n"/>
      <c r="AH36" s="298" t="n"/>
      <c r="AI36" s="298" t="n"/>
      <c r="AJ36" s="298" t="n"/>
      <c r="AK36" s="298" t="n"/>
      <c r="AL36" s="298" t="n"/>
      <c r="AM36" s="299" t="n"/>
      <c r="AN36" s="299" t="n"/>
      <c r="AO36" s="298" t="n"/>
      <c r="AP36" s="298" t="n"/>
      <c r="AQ36" s="298" t="n"/>
      <c r="AR36" s="298" t="n"/>
      <c r="AS36" s="298" t="n"/>
      <c r="AT36" s="299" t="n"/>
      <c r="AU36" s="299" t="n"/>
      <c r="AV36" s="298" t="n"/>
      <c r="AW36" s="298" t="n"/>
      <c r="AX36" s="298" t="n"/>
      <c r="AY36" s="298" t="n"/>
      <c r="AZ36" s="298" t="n"/>
      <c r="BA36" s="299" t="n"/>
      <c r="BB36" s="299" t="n"/>
      <c r="BC36" s="298" t="n"/>
      <c r="BD36" s="298" t="n"/>
      <c r="BE36" s="298" t="n"/>
      <c r="BF36" s="298" t="n"/>
      <c r="BG36" s="298" t="n"/>
      <c r="BH36" s="302" t="n"/>
      <c r="BI36" s="299" t="n"/>
      <c r="BJ36" s="298" t="n"/>
      <c r="BK36" s="298" t="n"/>
      <c r="BL36" s="298" t="n"/>
      <c r="BM36" s="298" t="n"/>
      <c r="BN36" s="298" t="n"/>
      <c r="BO36" s="299" t="n"/>
      <c r="BP36" s="299" t="n"/>
      <c r="BQ36" s="298" t="n"/>
      <c r="BR36" s="298" t="n"/>
      <c r="BS36" s="298" t="n"/>
      <c r="BT36" s="298" t="n"/>
      <c r="BU36" s="298" t="n"/>
      <c r="BV36" s="299" t="n"/>
      <c r="BW36" s="299" t="n"/>
      <c r="BX36" s="298" t="n"/>
      <c r="BY36" s="298" t="n"/>
      <c r="BZ36" s="298" t="n"/>
      <c r="CA36" s="298" t="n"/>
      <c r="CB36" s="298" t="n"/>
      <c r="CC36" s="299" t="n"/>
      <c r="CD36" s="299" t="n"/>
      <c r="CE36" s="298" t="n"/>
      <c r="CF36" s="298" t="n"/>
      <c r="CG36" s="298" t="n"/>
      <c r="CH36" s="298" t="n"/>
      <c r="CI36" s="298" t="n"/>
      <c r="CJ36" s="299" t="n"/>
      <c r="CK36" s="299" t="n"/>
      <c r="CL36" s="298" t="n"/>
      <c r="CM36" s="298" t="n"/>
      <c r="CN36" s="298" t="n"/>
      <c r="CO36" s="298" t="n"/>
      <c r="CP36" s="298" t="n"/>
      <c r="CQ36" s="299" t="n"/>
      <c r="CR36" s="299" t="n"/>
      <c r="CS36" s="298" t="n"/>
      <c r="CT36" s="298" t="n"/>
      <c r="CU36" s="298" t="n"/>
      <c r="CV36" s="298" t="n"/>
      <c r="CW36" s="298" t="n"/>
      <c r="CX36" s="299" t="n"/>
      <c r="CY36" s="299" t="n"/>
      <c r="CZ36" s="298" t="n"/>
      <c r="DA36" s="298" t="n"/>
      <c r="DB36" s="298" t="n"/>
      <c r="DC36" s="298" t="n"/>
      <c r="DD36" s="298" t="n"/>
      <c r="DE36" s="299" t="n"/>
      <c r="DF36" s="299" t="n"/>
      <c r="DG36" s="322" t="n"/>
      <c r="DH36" s="322" t="n"/>
      <c r="DI36" s="322" t="n"/>
      <c r="DJ36" s="322" t="n"/>
      <c r="DK36" s="322" t="n"/>
      <c r="DL36" s="322" t="n"/>
      <c r="DM36" s="322" t="n"/>
      <c r="DN36" s="298" t="n"/>
      <c r="DO36" s="298" t="n"/>
      <c r="DP36" s="298" t="n"/>
      <c r="DQ36" s="303" t="n"/>
    </row>
    <row r="37" ht="20" customHeight="1" s="236">
      <c r="A37" s="291" t="n">
        <v>28</v>
      </c>
      <c r="B37" s="292" t="inlineStr">
        <is>
          <t>完全移管判定</t>
        </is>
      </c>
      <c r="C37" s="328" t="inlineStr">
        <is>
          <t>検証</t>
        </is>
      </c>
      <c r="D37" s="294" t="n">
        <v>46370</v>
      </c>
      <c r="E37" s="294" t="n">
        <v>46387</v>
      </c>
      <c r="F37" s="295">
        <f>E37-D37+1</f>
        <v/>
      </c>
      <c r="G37" s="296" t="n">
        <v>0</v>
      </c>
      <c r="H37" s="298" t="n"/>
      <c r="I37" s="298" t="n"/>
      <c r="J37" s="298" t="n"/>
      <c r="K37" s="299" t="n"/>
      <c r="L37" s="299" t="n"/>
      <c r="M37" s="298" t="n"/>
      <c r="N37" s="298" t="n"/>
      <c r="O37" s="298" t="n"/>
      <c r="P37" s="298" t="n"/>
      <c r="Q37" s="298" t="n"/>
      <c r="R37" s="299" t="n"/>
      <c r="S37" s="299" t="n"/>
      <c r="T37" s="298" t="n"/>
      <c r="U37" s="298" t="n"/>
      <c r="V37" s="298" t="n"/>
      <c r="W37" s="298" t="n"/>
      <c r="X37" s="298" t="n"/>
      <c r="Y37" s="299" t="n"/>
      <c r="Z37" s="299" t="n"/>
      <c r="AA37" s="300" t="n"/>
      <c r="AB37" s="298" t="n"/>
      <c r="AC37" s="298" t="n"/>
      <c r="AD37" s="301" t="n"/>
      <c r="AE37" s="298" t="n"/>
      <c r="AF37" s="299" t="n"/>
      <c r="AG37" s="299" t="n"/>
      <c r="AH37" s="298" t="n"/>
      <c r="AI37" s="298" t="n"/>
      <c r="AJ37" s="298" t="n"/>
      <c r="AK37" s="298" t="n"/>
      <c r="AL37" s="298" t="n"/>
      <c r="AM37" s="299" t="n"/>
      <c r="AN37" s="299" t="n"/>
      <c r="AO37" s="298" t="n"/>
      <c r="AP37" s="298" t="n"/>
      <c r="AQ37" s="298" t="n"/>
      <c r="AR37" s="298" t="n"/>
      <c r="AS37" s="298" t="n"/>
      <c r="AT37" s="299" t="n"/>
      <c r="AU37" s="299" t="n"/>
      <c r="AV37" s="298" t="n"/>
      <c r="AW37" s="298" t="n"/>
      <c r="AX37" s="298" t="n"/>
      <c r="AY37" s="298" t="n"/>
      <c r="AZ37" s="298" t="n"/>
      <c r="BA37" s="299" t="n"/>
      <c r="BB37" s="299" t="n"/>
      <c r="BC37" s="298" t="n"/>
      <c r="BD37" s="298" t="n"/>
      <c r="BE37" s="298" t="n"/>
      <c r="BF37" s="298" t="n"/>
      <c r="BG37" s="298" t="n"/>
      <c r="BH37" s="302" t="n"/>
      <c r="BI37" s="299" t="n"/>
      <c r="BJ37" s="298" t="n"/>
      <c r="BK37" s="298" t="n"/>
      <c r="BL37" s="298" t="n"/>
      <c r="BM37" s="298" t="n"/>
      <c r="BN37" s="298" t="n"/>
      <c r="BO37" s="299" t="n"/>
      <c r="BP37" s="299" t="n"/>
      <c r="BQ37" s="298" t="n"/>
      <c r="BR37" s="298" t="n"/>
      <c r="BS37" s="298" t="n"/>
      <c r="BT37" s="298" t="n"/>
      <c r="BU37" s="298" t="n"/>
      <c r="BV37" s="299" t="n"/>
      <c r="BW37" s="299" t="n"/>
      <c r="BX37" s="298" t="n"/>
      <c r="BY37" s="298" t="n"/>
      <c r="BZ37" s="298" t="n"/>
      <c r="CA37" s="298" t="n"/>
      <c r="CB37" s="298" t="n"/>
      <c r="CC37" s="299" t="n"/>
      <c r="CD37" s="299" t="n"/>
      <c r="CE37" s="298" t="n"/>
      <c r="CF37" s="298" t="n"/>
      <c r="CG37" s="298" t="n"/>
      <c r="CH37" s="298" t="n"/>
      <c r="CI37" s="298" t="n"/>
      <c r="CJ37" s="299" t="n"/>
      <c r="CK37" s="299" t="n"/>
      <c r="CL37" s="298" t="n"/>
      <c r="CM37" s="298" t="n"/>
      <c r="CN37" s="298" t="n"/>
      <c r="CO37" s="298" t="n"/>
      <c r="CP37" s="298" t="n"/>
      <c r="CQ37" s="299" t="n"/>
      <c r="CR37" s="299" t="n"/>
      <c r="CS37" s="298" t="n"/>
      <c r="CT37" s="298" t="n"/>
      <c r="CU37" s="298" t="n"/>
      <c r="CV37" s="298" t="n"/>
      <c r="CW37" s="298" t="n"/>
      <c r="CX37" s="299" t="n"/>
      <c r="CY37" s="299" t="n"/>
      <c r="CZ37" s="330" t="n"/>
      <c r="DA37" s="330" t="n"/>
      <c r="DB37" s="330" t="n"/>
      <c r="DC37" s="330" t="n"/>
      <c r="DD37" s="330" t="n"/>
      <c r="DE37" s="330" t="n"/>
      <c r="DF37" s="330" t="n"/>
      <c r="DG37" s="330" t="n"/>
      <c r="DH37" s="330" t="n"/>
      <c r="DI37" s="330" t="n"/>
      <c r="DJ37" s="330" t="n"/>
      <c r="DK37" s="330" t="n"/>
      <c r="DL37" s="330" t="n"/>
      <c r="DM37" s="330" t="n"/>
      <c r="DN37" s="330" t="n"/>
      <c r="DO37" s="330" t="n"/>
      <c r="DP37" s="330" t="n"/>
      <c r="DQ37" s="333" t="n"/>
    </row>
    <row r="38" ht="20" customHeight="1" s="236">
      <c r="A38" s="291" t="n">
        <v>29</v>
      </c>
      <c r="B38" s="292" t="inlineStr">
        <is>
          <t>12月総括・次フェーズ判断</t>
        </is>
      </c>
      <c r="C38" s="328" t="inlineStr">
        <is>
          <t>検証</t>
        </is>
      </c>
      <c r="D38" s="294" t="n">
        <v>46384</v>
      </c>
      <c r="E38" s="294" t="n">
        <v>46387</v>
      </c>
      <c r="F38" s="295">
        <f>E38-D38+1</f>
        <v/>
      </c>
      <c r="G38" s="296" t="n">
        <v>0</v>
      </c>
      <c r="H38" s="298" t="n"/>
      <c r="I38" s="298" t="n"/>
      <c r="J38" s="298" t="n"/>
      <c r="K38" s="299" t="n"/>
      <c r="L38" s="299" t="n"/>
      <c r="M38" s="298" t="n"/>
      <c r="N38" s="298" t="n"/>
      <c r="O38" s="298" t="n"/>
      <c r="P38" s="298" t="n"/>
      <c r="Q38" s="298" t="n"/>
      <c r="R38" s="299" t="n"/>
      <c r="S38" s="299" t="n"/>
      <c r="T38" s="298" t="n"/>
      <c r="U38" s="298" t="n"/>
      <c r="V38" s="298" t="n"/>
      <c r="W38" s="298" t="n"/>
      <c r="X38" s="298" t="n"/>
      <c r="Y38" s="299" t="n"/>
      <c r="Z38" s="299" t="n"/>
      <c r="AA38" s="300" t="n"/>
      <c r="AB38" s="298" t="n"/>
      <c r="AC38" s="298" t="n"/>
      <c r="AD38" s="301" t="n"/>
      <c r="AE38" s="298" t="n"/>
      <c r="AF38" s="299" t="n"/>
      <c r="AG38" s="299" t="n"/>
      <c r="AH38" s="298" t="n"/>
      <c r="AI38" s="298" t="n"/>
      <c r="AJ38" s="298" t="n"/>
      <c r="AK38" s="298" t="n"/>
      <c r="AL38" s="298" t="n"/>
      <c r="AM38" s="299" t="n"/>
      <c r="AN38" s="299" t="n"/>
      <c r="AO38" s="298" t="n"/>
      <c r="AP38" s="298" t="n"/>
      <c r="AQ38" s="298" t="n"/>
      <c r="AR38" s="298" t="n"/>
      <c r="AS38" s="298" t="n"/>
      <c r="AT38" s="299" t="n"/>
      <c r="AU38" s="299" t="n"/>
      <c r="AV38" s="298" t="n"/>
      <c r="AW38" s="298" t="n"/>
      <c r="AX38" s="298" t="n"/>
      <c r="AY38" s="298" t="n"/>
      <c r="AZ38" s="298" t="n"/>
      <c r="BA38" s="299" t="n"/>
      <c r="BB38" s="299" t="n"/>
      <c r="BC38" s="298" t="n"/>
      <c r="BD38" s="298" t="n"/>
      <c r="BE38" s="298" t="n"/>
      <c r="BF38" s="298" t="n"/>
      <c r="BG38" s="298" t="n"/>
      <c r="BH38" s="302" t="n"/>
      <c r="BI38" s="299" t="n"/>
      <c r="BJ38" s="298" t="n"/>
      <c r="BK38" s="298" t="n"/>
      <c r="BL38" s="298" t="n"/>
      <c r="BM38" s="298" t="n"/>
      <c r="BN38" s="298" t="n"/>
      <c r="BO38" s="299" t="n"/>
      <c r="BP38" s="299" t="n"/>
      <c r="BQ38" s="298" t="n"/>
      <c r="BR38" s="298" t="n"/>
      <c r="BS38" s="298" t="n"/>
      <c r="BT38" s="298" t="n"/>
      <c r="BU38" s="298" t="n"/>
      <c r="BV38" s="299" t="n"/>
      <c r="BW38" s="299" t="n"/>
      <c r="BX38" s="298" t="n"/>
      <c r="BY38" s="298" t="n"/>
      <c r="BZ38" s="298" t="n"/>
      <c r="CA38" s="298" t="n"/>
      <c r="CB38" s="298" t="n"/>
      <c r="CC38" s="299" t="n"/>
      <c r="CD38" s="299" t="n"/>
      <c r="CE38" s="298" t="n"/>
      <c r="CF38" s="298" t="n"/>
      <c r="CG38" s="298" t="n"/>
      <c r="CH38" s="298" t="n"/>
      <c r="CI38" s="298" t="n"/>
      <c r="CJ38" s="299" t="n"/>
      <c r="CK38" s="299" t="n"/>
      <c r="CL38" s="298" t="n"/>
      <c r="CM38" s="298" t="n"/>
      <c r="CN38" s="298" t="n"/>
      <c r="CO38" s="298" t="n"/>
      <c r="CP38" s="298" t="n"/>
      <c r="CQ38" s="299" t="n"/>
      <c r="CR38" s="299" t="n"/>
      <c r="CS38" s="298" t="n"/>
      <c r="CT38" s="298" t="n"/>
      <c r="CU38" s="298" t="n"/>
      <c r="CV38" s="298" t="n"/>
      <c r="CW38" s="298" t="n"/>
      <c r="CX38" s="299" t="n"/>
      <c r="CY38" s="299" t="n"/>
      <c r="CZ38" s="298" t="n"/>
      <c r="DA38" s="298" t="n"/>
      <c r="DB38" s="298" t="n"/>
      <c r="DC38" s="298" t="n"/>
      <c r="DD38" s="298" t="n"/>
      <c r="DE38" s="299" t="n"/>
      <c r="DF38" s="299" t="n"/>
      <c r="DG38" s="298" t="n"/>
      <c r="DH38" s="298" t="n"/>
      <c r="DI38" s="298" t="n"/>
      <c r="DJ38" s="298" t="n"/>
      <c r="DK38" s="298" t="n"/>
      <c r="DL38" s="299" t="n"/>
      <c r="DM38" s="299" t="n"/>
      <c r="DN38" s="330" t="n"/>
      <c r="DO38" s="330" t="n"/>
      <c r="DP38" s="330" t="n"/>
      <c r="DQ38" s="333" t="n"/>
    </row>
    <row r="39" ht="20" customHeight="1" s="236">
      <c r="A39" s="291" t="n">
        <v>30</v>
      </c>
      <c r="B39" s="292" t="inlineStr">
        <is>
          <t>採用遅延・欠員・属人化リスク監視</t>
        </is>
      </c>
      <c r="C39" s="334" t="inlineStr">
        <is>
          <t>リスク</t>
        </is>
      </c>
      <c r="D39" s="294" t="n">
        <v>46274</v>
      </c>
      <c r="E39" s="294" t="n">
        <v>46387</v>
      </c>
      <c r="F39" s="295">
        <f>E39-D39+1</f>
        <v/>
      </c>
      <c r="G39" s="296" t="n">
        <v>0</v>
      </c>
      <c r="H39" s="335" t="n"/>
      <c r="I39" s="335" t="n"/>
      <c r="J39" s="335" t="n"/>
      <c r="K39" s="335" t="n"/>
      <c r="L39" s="335" t="n"/>
      <c r="M39" s="335" t="n"/>
      <c r="N39" s="335" t="n"/>
      <c r="O39" s="335" t="n"/>
      <c r="P39" s="335" t="n"/>
      <c r="Q39" s="335" t="n"/>
      <c r="R39" s="335" t="n"/>
      <c r="S39" s="335" t="n"/>
      <c r="T39" s="335" t="n"/>
      <c r="U39" s="335" t="n"/>
      <c r="V39" s="335" t="n"/>
      <c r="W39" s="335" t="n"/>
      <c r="X39" s="335" t="n"/>
      <c r="Y39" s="335" t="n"/>
      <c r="Z39" s="335" t="n"/>
      <c r="AA39" s="336" t="n"/>
      <c r="AB39" s="335" t="n"/>
      <c r="AC39" s="335" t="n"/>
      <c r="AD39" s="337" t="n"/>
      <c r="AE39" s="335" t="n"/>
      <c r="AF39" s="335" t="n"/>
      <c r="AG39" s="335" t="n"/>
      <c r="AH39" s="335" t="n"/>
      <c r="AI39" s="335" t="n"/>
      <c r="AJ39" s="335" t="n"/>
      <c r="AK39" s="335" t="n"/>
      <c r="AL39" s="335" t="n"/>
      <c r="AM39" s="335" t="n"/>
      <c r="AN39" s="335" t="n"/>
      <c r="AO39" s="335" t="n"/>
      <c r="AP39" s="335" t="n"/>
      <c r="AQ39" s="335" t="n"/>
      <c r="AR39" s="335" t="n"/>
      <c r="AS39" s="335" t="n"/>
      <c r="AT39" s="335" t="n"/>
      <c r="AU39" s="335" t="n"/>
      <c r="AV39" s="335" t="n"/>
      <c r="AW39" s="335" t="n"/>
      <c r="AX39" s="335" t="n"/>
      <c r="AY39" s="335" t="n"/>
      <c r="AZ39" s="335" t="n"/>
      <c r="BA39" s="335" t="n"/>
      <c r="BB39" s="335" t="n"/>
      <c r="BC39" s="335" t="n"/>
      <c r="BD39" s="335" t="n"/>
      <c r="BE39" s="335" t="n"/>
      <c r="BF39" s="335" t="n"/>
      <c r="BG39" s="335" t="n"/>
      <c r="BH39" s="338" t="n"/>
      <c r="BI39" s="335" t="n"/>
      <c r="BJ39" s="335" t="n"/>
      <c r="BK39" s="335" t="n"/>
      <c r="BL39" s="335" t="n"/>
      <c r="BM39" s="335" t="n"/>
      <c r="BN39" s="335" t="n"/>
      <c r="BO39" s="335" t="n"/>
      <c r="BP39" s="335" t="n"/>
      <c r="BQ39" s="335" t="n"/>
      <c r="BR39" s="335" t="n"/>
      <c r="BS39" s="335" t="n"/>
      <c r="BT39" s="335" t="n"/>
      <c r="BU39" s="335" t="n"/>
      <c r="BV39" s="335" t="n"/>
      <c r="BW39" s="335" t="n"/>
      <c r="BX39" s="335" t="n"/>
      <c r="BY39" s="335" t="n"/>
      <c r="BZ39" s="335" t="n"/>
      <c r="CA39" s="335" t="n"/>
      <c r="CB39" s="335" t="n"/>
      <c r="CC39" s="335" t="n"/>
      <c r="CD39" s="335" t="n"/>
      <c r="CE39" s="335" t="n"/>
      <c r="CF39" s="335" t="n"/>
      <c r="CG39" s="335" t="n"/>
      <c r="CH39" s="335" t="n"/>
      <c r="CI39" s="335" t="n"/>
      <c r="CJ39" s="335" t="n"/>
      <c r="CK39" s="335" t="n"/>
      <c r="CL39" s="335" t="n"/>
      <c r="CM39" s="335" t="n"/>
      <c r="CN39" s="335" t="n"/>
      <c r="CO39" s="335" t="n"/>
      <c r="CP39" s="335" t="n"/>
      <c r="CQ39" s="335" t="n"/>
      <c r="CR39" s="335" t="n"/>
      <c r="CS39" s="335" t="n"/>
      <c r="CT39" s="335" t="n"/>
      <c r="CU39" s="335" t="n"/>
      <c r="CV39" s="335" t="n"/>
      <c r="CW39" s="335" t="n"/>
      <c r="CX39" s="335" t="n"/>
      <c r="CY39" s="335" t="n"/>
      <c r="CZ39" s="335" t="n"/>
      <c r="DA39" s="335" t="n"/>
      <c r="DB39" s="335" t="n"/>
      <c r="DC39" s="335" t="n"/>
      <c r="DD39" s="335" t="n"/>
      <c r="DE39" s="335" t="n"/>
      <c r="DF39" s="335" t="n"/>
      <c r="DG39" s="335" t="n"/>
      <c r="DH39" s="335" t="n"/>
      <c r="DI39" s="335" t="n"/>
      <c r="DJ39" s="335" t="n"/>
      <c r="DK39" s="335" t="n"/>
      <c r="DL39" s="335" t="n"/>
      <c r="DM39" s="335" t="n"/>
      <c r="DN39" s="335" t="n"/>
      <c r="DO39" s="335" t="n"/>
      <c r="DP39" s="335" t="n"/>
      <c r="DQ39" s="339" t="n"/>
    </row>
    <row r="40" ht="18" customHeight="1" s="236">
      <c r="AA40" s="340" t="inlineStr">
        <is>
          <t>▲ 9/28 先行企業 実運用開始</t>
        </is>
      </c>
      <c r="AB40" s="341" t="n"/>
      <c r="AC40" s="341" t="n"/>
      <c r="AD40" s="341" t="n"/>
      <c r="AE40" s="341" t="n"/>
      <c r="AF40" s="341" t="n"/>
      <c r="AG40" s="341" t="n"/>
      <c r="AH40" s="341" t="n"/>
      <c r="AI40" s="341" t="n"/>
      <c r="AJ40" s="341" t="n"/>
      <c r="AK40" s="341" t="n"/>
      <c r="AL40" s="341" t="n"/>
      <c r="AM40" s="341" t="n"/>
      <c r="BH40" s="342" t="inlineStr">
        <is>
          <t>▲ 10/31 10月総括</t>
        </is>
      </c>
      <c r="BI40" s="341" t="n"/>
      <c r="BJ40" s="341" t="n"/>
      <c r="BK40" s="341" t="n"/>
      <c r="BL40" s="341" t="n"/>
      <c r="BM40" s="341" t="n"/>
      <c r="BN40" s="341" t="n"/>
      <c r="BO40" s="341" t="n"/>
      <c r="BP40" s="341" t="n"/>
      <c r="BQ40" s="341" t="n"/>
      <c r="BR40" s="341" t="n"/>
      <c r="BS40" s="341" t="n"/>
      <c r="BT40" s="341" t="n"/>
      <c r="DB40" s="343" t="inlineStr">
        <is>
          <t>▲ 12/31 12月総括・次フェーズ判断</t>
        </is>
      </c>
      <c r="DC40" s="341" t="n"/>
      <c r="DD40" s="341" t="n"/>
      <c r="DE40" s="341" t="n"/>
      <c r="DF40" s="341" t="n"/>
      <c r="DG40" s="341" t="n"/>
      <c r="DH40" s="341" t="n"/>
      <c r="DI40" s="341" t="n"/>
      <c r="DJ40" s="341" t="n"/>
      <c r="DK40" s="341" t="n"/>
      <c r="DL40" s="341" t="n"/>
      <c r="DM40" s="341" t="n"/>
      <c r="DN40" s="341" t="n"/>
      <c r="DO40" s="341" t="n"/>
      <c r="DP40" s="341" t="n"/>
      <c r="DQ40" s="341" t="n"/>
    </row>
    <row r="41" ht="18" customHeight="1" s="236">
      <c r="AD41" s="344" t="inlineStr">
        <is>
          <t>▲ 10/1 ★ママワークス 追加ワーカー採用開始</t>
        </is>
      </c>
      <c r="AE41" s="341" t="n"/>
      <c r="AF41" s="341" t="n"/>
      <c r="AG41" s="341" t="n"/>
      <c r="AH41" s="341" t="n"/>
      <c r="AI41" s="341" t="n"/>
      <c r="AJ41" s="341" t="n"/>
      <c r="AK41" s="341" t="n"/>
      <c r="AL41" s="341" t="n"/>
      <c r="AM41" s="341" t="n"/>
      <c r="AN41" s="341" t="n"/>
      <c r="AO41" s="341" t="n"/>
      <c r="AP41" s="341" t="n"/>
      <c r="AQ41" s="341" t="n"/>
      <c r="AR41" s="341" t="n"/>
      <c r="AS41" s="341" t="n"/>
      <c r="AT41" s="341" t="n"/>
      <c r="AU41" s="341" t="n"/>
      <c r="AV41" s="341" t="n"/>
      <c r="AW41" s="341" t="n"/>
      <c r="AX41" s="341" t="n"/>
      <c r="AY41" s="341" t="n"/>
      <c r="AZ41" s="341" t="n"/>
    </row>
    <row r="43" ht="24" customHeight="1" s="236">
      <c r="A43" s="345" t="inlineStr">
        <is>
          <t>【9月】9/13：全社一覧化・先行候補選定　│　9/20：先行引継ぎ開始・実工数計測開始　│　9/27：難易度A/B/C基準確定・役割分担確定　│　9/28：先行企業 実運用開始</t>
        </is>
      </c>
      <c r="B43" s="346" t="n"/>
      <c r="C43" s="346" t="n"/>
      <c r="D43" s="346" t="n"/>
      <c r="E43" s="346" t="n"/>
      <c r="F43" s="346" t="n"/>
      <c r="G43" s="346" t="n"/>
      <c r="H43" s="346" t="n"/>
      <c r="I43" s="346" t="n"/>
      <c r="J43" s="346" t="n"/>
      <c r="K43" s="346" t="n"/>
      <c r="L43" s="346" t="n"/>
      <c r="M43" s="346" t="n"/>
      <c r="N43" s="346" t="n"/>
      <c r="O43" s="346" t="n"/>
      <c r="P43" s="346" t="n"/>
      <c r="Q43" s="346" t="n"/>
      <c r="R43" s="346" t="n"/>
      <c r="S43" s="346" t="n"/>
      <c r="T43" s="346" t="n"/>
      <c r="U43" s="346" t="n"/>
      <c r="V43" s="346" t="n"/>
      <c r="W43" s="346" t="n"/>
      <c r="X43" s="346" t="n"/>
      <c r="Y43" s="346" t="n"/>
      <c r="Z43" s="346" t="n"/>
      <c r="AA43" s="346" t="n"/>
      <c r="AB43" s="346" t="n"/>
      <c r="AC43" s="346" t="n"/>
      <c r="AD43" s="346" t="n"/>
      <c r="AE43" s="346" t="n"/>
      <c r="AF43" s="346" t="n"/>
      <c r="AG43" s="346" t="n"/>
      <c r="AH43" s="346" t="n"/>
      <c r="AI43" s="346" t="n"/>
      <c r="AJ43" s="346" t="n"/>
      <c r="AK43" s="346" t="n"/>
      <c r="AL43" s="346" t="n"/>
      <c r="AM43" s="346" t="n"/>
      <c r="AN43" s="346" t="n"/>
      <c r="AO43" s="346" t="n"/>
      <c r="AP43" s="346" t="n"/>
      <c r="AQ43" s="346" t="n"/>
      <c r="AR43" s="346" t="n"/>
      <c r="AS43" s="346" t="n"/>
      <c r="AT43" s="346" t="n"/>
      <c r="AU43" s="346" t="n"/>
      <c r="AV43" s="346" t="n"/>
      <c r="AW43" s="346" t="n"/>
      <c r="AX43" s="346" t="n"/>
      <c r="AY43" s="346" t="n"/>
      <c r="AZ43" s="346" t="n"/>
      <c r="BA43" s="346" t="n"/>
      <c r="BB43" s="346" t="n"/>
      <c r="BC43" s="346" t="n"/>
      <c r="BD43" s="346" t="n"/>
      <c r="BE43" s="346" t="n"/>
      <c r="BF43" s="346" t="n"/>
      <c r="BG43" s="346" t="n"/>
      <c r="BH43" s="346" t="n"/>
    </row>
    <row r="44" ht="24" customHeight="1" s="236">
      <c r="A44" s="347" t="inlineStr">
        <is>
          <t>【10月】10/1：★ママワークス募集開始　│　10/11：先行企業安定化・第2グループ引継ぎ　│　10/18：An-field様側の確認工数測定　│　10/25：処理能力再計算・追加採用要否判定　│　10/31：10月総括</t>
        </is>
      </c>
      <c r="B44" s="272" t="n"/>
      <c r="C44" s="272" t="n"/>
      <c r="D44" s="272" t="n"/>
      <c r="E44" s="272" t="n"/>
      <c r="F44" s="272" t="n"/>
      <c r="G44" s="272" t="n"/>
      <c r="H44" s="272" t="n"/>
      <c r="I44" s="272" t="n"/>
      <c r="J44" s="272" t="n"/>
      <c r="K44" s="272" t="n"/>
      <c r="L44" s="272" t="n"/>
      <c r="M44" s="272" t="n"/>
      <c r="N44" s="272" t="n"/>
      <c r="O44" s="272" t="n"/>
      <c r="P44" s="272" t="n"/>
      <c r="Q44" s="272" t="n"/>
      <c r="R44" s="272" t="n"/>
      <c r="S44" s="272" t="n"/>
      <c r="T44" s="272" t="n"/>
      <c r="U44" s="272" t="n"/>
      <c r="V44" s="272" t="n"/>
      <c r="W44" s="272" t="n"/>
      <c r="X44" s="272" t="n"/>
      <c r="Y44" s="272" t="n"/>
      <c r="Z44" s="272" t="n"/>
      <c r="AA44" s="272" t="n"/>
      <c r="AB44" s="272" t="n"/>
      <c r="AC44" s="272" t="n"/>
      <c r="AD44" s="272" t="n"/>
      <c r="AE44" s="272" t="n"/>
      <c r="AF44" s="272" t="n"/>
      <c r="AG44" s="272" t="n"/>
      <c r="AH44" s="272" t="n"/>
      <c r="AI44" s="272" t="n"/>
      <c r="AJ44" s="272" t="n"/>
      <c r="AK44" s="272" t="n"/>
      <c r="AL44" s="272" t="n"/>
      <c r="AM44" s="272" t="n"/>
      <c r="AN44" s="272" t="n"/>
      <c r="AO44" s="272" t="n"/>
      <c r="AP44" s="272" t="n"/>
      <c r="AQ44" s="272" t="n"/>
      <c r="AR44" s="272" t="n"/>
      <c r="AS44" s="272" t="n"/>
      <c r="AT44" s="272" t="n"/>
      <c r="AU44" s="272" t="n"/>
      <c r="AV44" s="272" t="n"/>
      <c r="AW44" s="272" t="n"/>
      <c r="AX44" s="272" t="n"/>
      <c r="AY44" s="272" t="n"/>
      <c r="AZ44" s="272" t="n"/>
      <c r="BA44" s="272" t="n"/>
      <c r="BB44" s="272" t="n"/>
      <c r="BC44" s="272" t="n"/>
      <c r="BD44" s="272" t="n"/>
      <c r="BE44" s="272" t="n"/>
      <c r="BF44" s="272" t="n"/>
      <c r="BG44" s="272" t="n"/>
      <c r="BH44" s="272" t="n"/>
    </row>
    <row r="45" ht="24" customHeight="1" s="236">
      <c r="A45" s="348" t="inlineStr">
        <is>
          <t>【11月】11/8：第3グループ移管開始・採用者受入　│　11/15：年末調整の対象・必要資料を確定　│　11/22：ワーカー単独運用の拡大　│　11/29：11月総括・処理能力再計算・12月体制確定</t>
        </is>
      </c>
      <c r="B45" s="274" t="n"/>
      <c r="C45" s="274" t="n"/>
      <c r="D45" s="274" t="n"/>
      <c r="E45" s="274" t="n"/>
      <c r="F45" s="274" t="n"/>
      <c r="G45" s="274" t="n"/>
      <c r="H45" s="274" t="n"/>
      <c r="I45" s="274" t="n"/>
      <c r="J45" s="274" t="n"/>
      <c r="K45" s="274" t="n"/>
      <c r="L45" s="274" t="n"/>
      <c r="M45" s="274" t="n"/>
      <c r="N45" s="274" t="n"/>
      <c r="O45" s="274" t="n"/>
      <c r="P45" s="274" t="n"/>
      <c r="Q45" s="274" t="n"/>
      <c r="R45" s="274" t="n"/>
      <c r="S45" s="274" t="n"/>
      <c r="T45" s="274" t="n"/>
      <c r="U45" s="274" t="n"/>
      <c r="V45" s="274" t="n"/>
      <c r="W45" s="274" t="n"/>
      <c r="X45" s="274" t="n"/>
      <c r="Y45" s="274" t="n"/>
      <c r="Z45" s="274" t="n"/>
      <c r="AA45" s="274" t="n"/>
      <c r="AB45" s="274" t="n"/>
      <c r="AC45" s="274" t="n"/>
      <c r="AD45" s="274" t="n"/>
      <c r="AE45" s="274" t="n"/>
      <c r="AF45" s="274" t="n"/>
      <c r="AG45" s="274" t="n"/>
      <c r="AH45" s="274" t="n"/>
      <c r="AI45" s="274" t="n"/>
      <c r="AJ45" s="274" t="n"/>
      <c r="AK45" s="274" t="n"/>
      <c r="AL45" s="274" t="n"/>
      <c r="AM45" s="274" t="n"/>
      <c r="AN45" s="274" t="n"/>
      <c r="AO45" s="274" t="n"/>
      <c r="AP45" s="274" t="n"/>
      <c r="AQ45" s="274" t="n"/>
      <c r="AR45" s="274" t="n"/>
      <c r="AS45" s="274" t="n"/>
      <c r="AT45" s="274" t="n"/>
      <c r="AU45" s="274" t="n"/>
      <c r="AV45" s="274" t="n"/>
      <c r="AW45" s="274" t="n"/>
      <c r="AX45" s="274" t="n"/>
      <c r="AY45" s="274" t="n"/>
      <c r="AZ45" s="274" t="n"/>
      <c r="BA45" s="274" t="n"/>
      <c r="BB45" s="274" t="n"/>
      <c r="BC45" s="274" t="n"/>
      <c r="BD45" s="274" t="n"/>
      <c r="BE45" s="274" t="n"/>
      <c r="BF45" s="274" t="n"/>
      <c r="BG45" s="274" t="n"/>
      <c r="BH45" s="274" t="n"/>
    </row>
    <row r="46" ht="24" customHeight="1" s="236">
      <c r="A46" s="349" t="inlineStr">
        <is>
          <t>【12月】12/6：年末調整/賞与の対象・締切を全件把握　│　12/20：年末調整・賞与計算完了　│　12/27：年内最終の給与計算・納品完了　│　12/31：完全移管企業数・残工数・必要追加人数を確定</t>
        </is>
      </c>
      <c r="B46" s="276" t="n"/>
      <c r="C46" s="276" t="n"/>
      <c r="D46" s="276" t="n"/>
      <c r="E46" s="276" t="n"/>
      <c r="F46" s="276" t="n"/>
      <c r="G46" s="276" t="n"/>
      <c r="H46" s="276" t="n"/>
      <c r="I46" s="276" t="n"/>
      <c r="J46" s="276" t="n"/>
      <c r="K46" s="276" t="n"/>
      <c r="L46" s="276" t="n"/>
      <c r="M46" s="276" t="n"/>
      <c r="N46" s="276" t="n"/>
      <c r="O46" s="276" t="n"/>
      <c r="P46" s="276" t="n"/>
      <c r="Q46" s="276" t="n"/>
      <c r="R46" s="276" t="n"/>
      <c r="S46" s="276" t="n"/>
      <c r="T46" s="276" t="n"/>
      <c r="U46" s="276" t="n"/>
      <c r="V46" s="276" t="n"/>
      <c r="W46" s="276" t="n"/>
      <c r="X46" s="276" t="n"/>
      <c r="Y46" s="276" t="n"/>
      <c r="Z46" s="276" t="n"/>
      <c r="AA46" s="276" t="n"/>
      <c r="AB46" s="276" t="n"/>
      <c r="AC46" s="276" t="n"/>
      <c r="AD46" s="276" t="n"/>
      <c r="AE46" s="276" t="n"/>
      <c r="AF46" s="276" t="n"/>
      <c r="AG46" s="276" t="n"/>
      <c r="AH46" s="276" t="n"/>
      <c r="AI46" s="276" t="n"/>
      <c r="AJ46" s="276" t="n"/>
      <c r="AK46" s="276" t="n"/>
      <c r="AL46" s="276" t="n"/>
      <c r="AM46" s="276" t="n"/>
      <c r="AN46" s="276" t="n"/>
      <c r="AO46" s="276" t="n"/>
      <c r="AP46" s="276" t="n"/>
      <c r="AQ46" s="276" t="n"/>
      <c r="AR46" s="276" t="n"/>
      <c r="AS46" s="276" t="n"/>
      <c r="AT46" s="276" t="n"/>
      <c r="AU46" s="276" t="n"/>
      <c r="AV46" s="276" t="n"/>
      <c r="AW46" s="276" t="n"/>
      <c r="AX46" s="276" t="n"/>
      <c r="AY46" s="276" t="n"/>
      <c r="AZ46" s="276" t="n"/>
      <c r="BA46" s="276" t="n"/>
      <c r="BB46" s="276" t="n"/>
      <c r="BC46" s="276" t="n"/>
      <c r="BD46" s="276" t="n"/>
      <c r="BE46" s="276" t="n"/>
      <c r="BF46" s="276" t="n"/>
      <c r="BG46" s="276" t="n"/>
      <c r="BH46" s="276" t="n"/>
    </row>
    <row r="47" ht="26" customHeight="1" s="236">
      <c r="A47" s="350" t="inlineStr">
        <is>
          <t>【重要】12月末のゴールは「100〜110社の完全移管」ではありません。完全移管企業数・残企業数・残工数・必要追加人数・1人あたり処理能力が数値で確定し、2027年1月以降の移管ペースを設計できる状態がゴールです。</t>
        </is>
      </c>
      <c r="B47" s="351" t="n"/>
      <c r="C47" s="351" t="n"/>
      <c r="D47" s="351" t="n"/>
      <c r="E47" s="351" t="n"/>
      <c r="F47" s="351" t="n"/>
      <c r="G47" s="351" t="n"/>
      <c r="H47" s="351" t="n"/>
      <c r="I47" s="351" t="n"/>
      <c r="J47" s="351" t="n"/>
      <c r="K47" s="351" t="n"/>
      <c r="L47" s="351" t="n"/>
      <c r="M47" s="351" t="n"/>
      <c r="N47" s="351" t="n"/>
      <c r="O47" s="351" t="n"/>
      <c r="P47" s="351" t="n"/>
      <c r="Q47" s="351" t="n"/>
      <c r="R47" s="351" t="n"/>
      <c r="S47" s="351" t="n"/>
      <c r="T47" s="351" t="n"/>
      <c r="U47" s="351" t="n"/>
      <c r="V47" s="351" t="n"/>
      <c r="W47" s="351" t="n"/>
      <c r="X47" s="351" t="n"/>
      <c r="Y47" s="351" t="n"/>
      <c r="Z47" s="351" t="n"/>
      <c r="AA47" s="351" t="n"/>
      <c r="AB47" s="351" t="n"/>
      <c r="AC47" s="351" t="n"/>
      <c r="AD47" s="351" t="n"/>
      <c r="AE47" s="351" t="n"/>
      <c r="AF47" s="351" t="n"/>
      <c r="AG47" s="351" t="n"/>
      <c r="AH47" s="351" t="n"/>
      <c r="AI47" s="351" t="n"/>
      <c r="AJ47" s="351" t="n"/>
      <c r="AK47" s="351" t="n"/>
      <c r="AL47" s="351" t="n"/>
      <c r="AM47" s="351" t="n"/>
      <c r="AN47" s="351" t="n"/>
      <c r="AO47" s="351" t="n"/>
      <c r="AP47" s="351" t="n"/>
      <c r="AQ47" s="351" t="n"/>
      <c r="AR47" s="351" t="n"/>
      <c r="AS47" s="351" t="n"/>
      <c r="AT47" s="351" t="n"/>
      <c r="AU47" s="351" t="n"/>
      <c r="AV47" s="351" t="n"/>
      <c r="AW47" s="351" t="n"/>
      <c r="AX47" s="351" t="n"/>
      <c r="AY47" s="351" t="n"/>
      <c r="AZ47" s="351" t="n"/>
      <c r="BA47" s="351" t="n"/>
      <c r="BB47" s="351" t="n"/>
      <c r="BC47" s="351" t="n"/>
      <c r="BD47" s="351" t="n"/>
      <c r="BE47" s="351" t="n"/>
      <c r="BF47" s="351" t="n"/>
      <c r="BG47" s="351" t="n"/>
      <c r="BH47" s="351" t="n"/>
    </row>
    <row r="48" ht="22" customHeight="1" s="236">
      <c r="A48" s="352" t="inlineStr">
        <is>
          <t>【凡例】色付きバー＝暫定計画期間　／　薄い黄色＝手入力（進捗率）　／　グレーの列＝土日　／　縦線＝9/28 実運用開始・10/1 ママワークス採用開始・10/31 10月総括・12/31 12月総括</t>
        </is>
      </c>
      <c r="B48" s="353" t="n"/>
      <c r="C48" s="353" t="n"/>
      <c r="D48" s="353" t="n"/>
      <c r="E48" s="353" t="n"/>
      <c r="F48" s="353" t="n"/>
      <c r="G48" s="353" t="n"/>
      <c r="H48" s="353" t="n"/>
      <c r="I48" s="353" t="n"/>
      <c r="J48" s="353" t="n"/>
      <c r="K48" s="353" t="n"/>
      <c r="L48" s="353" t="n"/>
      <c r="M48" s="353" t="n"/>
      <c r="N48" s="353" t="n"/>
      <c r="O48" s="353" t="n"/>
      <c r="P48" s="353" t="n"/>
      <c r="Q48" s="353" t="n"/>
      <c r="R48" s="353" t="n"/>
      <c r="S48" s="353" t="n"/>
      <c r="T48" s="353" t="n"/>
      <c r="U48" s="353" t="n"/>
      <c r="V48" s="353" t="n"/>
      <c r="W48" s="353" t="n"/>
      <c r="X48" s="353" t="n"/>
      <c r="Y48" s="353" t="n"/>
      <c r="Z48" s="353" t="n"/>
      <c r="AA48" s="353" t="n"/>
      <c r="AB48" s="353" t="n"/>
      <c r="AC48" s="353" t="n"/>
      <c r="AD48" s="353" t="n"/>
      <c r="AE48" s="353" t="n"/>
      <c r="AF48" s="353" t="n"/>
      <c r="AG48" s="353" t="n"/>
      <c r="AH48" s="353" t="n"/>
      <c r="AI48" s="353" t="n"/>
      <c r="AJ48" s="353" t="n"/>
      <c r="AK48" s="353" t="n"/>
      <c r="AL48" s="353" t="n"/>
      <c r="AM48" s="353" t="n"/>
      <c r="AN48" s="353" t="n"/>
      <c r="AO48" s="353" t="n"/>
      <c r="AP48" s="353" t="n"/>
      <c r="AQ48" s="353" t="n"/>
      <c r="AR48" s="353" t="n"/>
      <c r="AS48" s="353" t="n"/>
      <c r="AT48" s="353" t="n"/>
      <c r="AU48" s="353" t="n"/>
      <c r="AV48" s="353" t="n"/>
      <c r="AW48" s="353" t="n"/>
      <c r="AX48" s="353" t="n"/>
      <c r="AY48" s="353" t="n"/>
      <c r="AZ48" s="353" t="n"/>
      <c r="BA48" s="353" t="n"/>
      <c r="BB48" s="353" t="n"/>
      <c r="BC48" s="353" t="n"/>
      <c r="BD48" s="353" t="n"/>
      <c r="BE48" s="353" t="n"/>
      <c r="BF48" s="353" t="n"/>
      <c r="BG48" s="353" t="n"/>
      <c r="BH48" s="353" t="n"/>
    </row>
  </sheetData>
  <mergeCells count="51">
    <mergeCell ref="BC7:BH7"/>
    <mergeCell ref="DN7:DQ7"/>
    <mergeCell ref="T7:Z7"/>
    <mergeCell ref="A1:DQ1"/>
    <mergeCell ref="A45:BH45"/>
    <mergeCell ref="BX7:CD7"/>
    <mergeCell ref="CM6:DQ6"/>
    <mergeCell ref="AH7:AN7"/>
    <mergeCell ref="BQ7:BW7"/>
    <mergeCell ref="DG7:DM7"/>
    <mergeCell ref="C7:C9"/>
    <mergeCell ref="E7:E9"/>
    <mergeCell ref="BH40:BT40"/>
    <mergeCell ref="O5:S5"/>
    <mergeCell ref="BI7:BP7"/>
    <mergeCell ref="A46:BH46"/>
    <mergeCell ref="B7:B9"/>
    <mergeCell ref="BI6:CL6"/>
    <mergeCell ref="AA5:AE5"/>
    <mergeCell ref="AV7:BB7"/>
    <mergeCell ref="AM5:AQ5"/>
    <mergeCell ref="CE7:CK7"/>
    <mergeCell ref="A3:DQ3"/>
    <mergeCell ref="AO7:AU7"/>
    <mergeCell ref="A2:DQ2"/>
    <mergeCell ref="CS7:CY7"/>
    <mergeCell ref="H7:L7"/>
    <mergeCell ref="F7:F9"/>
    <mergeCell ref="A6:G6"/>
    <mergeCell ref="AA40:AM40"/>
    <mergeCell ref="A47:BH47"/>
    <mergeCell ref="I5:M5"/>
    <mergeCell ref="DB40:DQ40"/>
    <mergeCell ref="CL7:CR7"/>
    <mergeCell ref="A4:DQ4"/>
    <mergeCell ref="H6:AC6"/>
    <mergeCell ref="A43:BH43"/>
    <mergeCell ref="A7:A9"/>
    <mergeCell ref="G7:G9"/>
    <mergeCell ref="AD41:AZ41"/>
    <mergeCell ref="CZ7:DF7"/>
    <mergeCell ref="A44:BH44"/>
    <mergeCell ref="AD6:BH6"/>
    <mergeCell ref="M7:S7"/>
    <mergeCell ref="U5:Y5"/>
    <mergeCell ref="D7:D9"/>
    <mergeCell ref="AG5:AK5"/>
    <mergeCell ref="AA7:AG7"/>
    <mergeCell ref="A48:BH48"/>
    <mergeCell ref="AS5:AW5"/>
    <mergeCell ref="A5:G5"/>
  </mergeCells>
  <conditionalFormatting sqref="G10:G39">
    <cfRule type="dataBar" priority="1">
      <dataBar>
        <cfvo type="num" val="0"/>
        <cfvo type="num" val="1"/>
        <color rgb="002E75B6"/>
      </dataBar>
    </cfRule>
  </conditionalFormatting>
  <conditionalFormatting sqref="B10:B39">
    <cfRule type="expression" priority="2" dxfId="33">
      <formula>$G10=1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1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5" customWidth="1" style="236" min="1" max="1"/>
    <col width="17" customWidth="1" style="236" min="2" max="2"/>
    <col width="11" customWidth="1" style="236" min="3" max="4"/>
    <col width="13" customWidth="1" style="236" min="5" max="5"/>
    <col width="16" customWidth="1" style="236" min="6" max="6"/>
    <col width="10" customWidth="1" style="236" min="7" max="7"/>
    <col width="13" customWidth="1" style="236" min="8" max="8"/>
    <col width="14" customWidth="1" style="236" min="9" max="10"/>
    <col width="9" customWidth="1" style="236" min="11" max="11"/>
    <col width="11" customWidth="1" style="236" min="12" max="17"/>
    <col width="12" customWidth="1" style="236" min="18" max="18"/>
    <col width="13" customWidth="1" style="236" min="19" max="19"/>
    <col width="12" customWidth="1" style="236" min="20" max="20"/>
    <col width="10" customWidth="1" style="236" min="21" max="21"/>
    <col width="12" customWidth="1" style="236" min="22" max="24"/>
    <col width="24" customWidth="1" style="236" min="25" max="26"/>
  </cols>
  <sheetData>
    <row r="1" ht="33.75" customHeight="1" s="236">
      <c r="A1" s="354" t="inlineStr">
        <is>
          <t>案件進捗管理（対象 100〜110社）　An-field様 給与計算業務 完全移管</t>
        </is>
      </c>
    </row>
    <row r="2" ht="19.5" customHeight="1" s="236">
      <c r="A2" s="355" t="inlineStr">
        <is>
          <t>【完全移管の定義】資料回収・給与計算・不明点対応・顧問先とのやり取り・納品・担当者管理まで、An-field様の日常的な管理なしで完結する状態。　※10月＝完全移管ではありません（10月は先行企業 実運用・対象企業拡大）。</t>
        </is>
      </c>
    </row>
    <row r="3" ht="18" customHeight="1" s="236">
      <c r="A3" s="356" t="inlineStr">
        <is>
          <t>※工数は1社あたり【月間】の想定時間（h）。現時点で実工数が不明なものは空欄のまま「要確認」とし、実績入力後に再計算してください（暫定値）。企業名は仮名称です。対象が100社の場合は不要行を削除してください。</t>
        </is>
      </c>
    </row>
    <row r="4" ht="45.75" customHeight="1" s="236">
      <c r="A4" s="50" t="inlineStr">
        <is>
          <t>No.</t>
        </is>
      </c>
      <c r="B4" s="50" t="inlineStr">
        <is>
          <t>企業名</t>
        </is>
      </c>
      <c r="C4" s="50" t="inlineStr">
        <is>
          <t>優先順位</t>
        </is>
      </c>
      <c r="D4" s="50" t="inlineStr">
        <is>
          <t>難易度</t>
        </is>
      </c>
      <c r="E4" s="50" t="inlineStr">
        <is>
          <t>移管ステータス</t>
        </is>
      </c>
      <c r="F4" s="50" t="inlineStr">
        <is>
          <t>秘書／ワーカー区分</t>
        </is>
      </c>
      <c r="G4" s="50" t="inlineStr">
        <is>
          <t>主担当</t>
        </is>
      </c>
      <c r="H4" s="50" t="inlineStr">
        <is>
          <t>バックアップ担当</t>
        </is>
      </c>
      <c r="I4" s="50" t="inlineStr">
        <is>
          <t>給与計算ソフト</t>
        </is>
      </c>
      <c r="J4" s="50" t="inlineStr">
        <is>
          <t>勤怠ツール</t>
        </is>
      </c>
      <c r="K4" s="50" t="inlineStr">
        <is>
          <t>締日</t>
        </is>
      </c>
      <c r="L4" s="50" t="inlineStr">
        <is>
          <t>支給日</t>
        </is>
      </c>
      <c r="M4" s="50" t="inlineStr">
        <is>
          <t>給与計算工数</t>
        </is>
      </c>
      <c r="N4" s="50" t="inlineStr">
        <is>
          <t>資料回収工数</t>
        </is>
      </c>
      <c r="O4" s="50" t="inlineStr">
        <is>
          <t>顧客対応工数</t>
        </is>
      </c>
      <c r="P4" s="50" t="inlineStr">
        <is>
          <t>質問対応工数</t>
        </is>
      </c>
      <c r="Q4" s="50" t="inlineStr">
        <is>
          <t>合計工数</t>
        </is>
      </c>
      <c r="R4" s="50" t="inlineStr">
        <is>
          <t>チェックシート受領</t>
        </is>
      </c>
      <c r="S4" s="50" t="inlineStr">
        <is>
          <t>業務レクチャー完了</t>
        </is>
      </c>
      <c r="T4" s="50" t="inlineStr">
        <is>
          <t>初回計算完了</t>
        </is>
      </c>
      <c r="U4" s="50" t="inlineStr">
        <is>
          <t>検証完了</t>
        </is>
      </c>
      <c r="V4" s="50" t="inlineStr">
        <is>
          <t>実運用開始日</t>
        </is>
      </c>
      <c r="W4" s="50" t="inlineStr">
        <is>
          <t>自走可能日</t>
        </is>
      </c>
      <c r="X4" s="50" t="inlineStr">
        <is>
          <t>完全移管日</t>
        </is>
      </c>
      <c r="Y4" s="50" t="inlineStr">
        <is>
          <t>課題</t>
        </is>
      </c>
      <c r="Z4" s="50" t="inlineStr">
        <is>
          <t>備考</t>
        </is>
      </c>
    </row>
    <row r="5" ht="24" customHeight="1" s="236">
      <c r="A5" s="42" t="inlineStr">
        <is>
          <t>例</t>
        </is>
      </c>
      <c r="B5" s="45" t="inlineStr">
        <is>
          <t>（記入例）株式会社サンプル</t>
        </is>
      </c>
      <c r="C5" s="42" t="inlineStr">
        <is>
          <t>1：最優先</t>
        </is>
      </c>
      <c r="D5" s="42" t="inlineStr">
        <is>
          <t>B：中程度</t>
        </is>
      </c>
      <c r="E5" s="42" t="inlineStr">
        <is>
          <t>2. 引継ぎ中</t>
        </is>
      </c>
      <c r="F5" s="42" t="inlineStr">
        <is>
          <t>秘書チーム中心</t>
        </is>
      </c>
      <c r="G5" s="42" t="inlineStr">
        <is>
          <t>山田</t>
        </is>
      </c>
      <c r="H5" s="42" t="inlineStr">
        <is>
          <t>佐藤</t>
        </is>
      </c>
      <c r="I5" s="42" t="inlineStr">
        <is>
          <t>セルズ給与</t>
        </is>
      </c>
      <c r="J5" s="42" t="inlineStr">
        <is>
          <t>KING OF TIME</t>
        </is>
      </c>
      <c r="K5" s="42" t="inlineStr">
        <is>
          <t>末日</t>
        </is>
      </c>
      <c r="L5" s="42" t="inlineStr">
        <is>
          <t>翌月15日</t>
        </is>
      </c>
      <c r="M5" s="54" t="n">
        <v>4</v>
      </c>
      <c r="N5" s="54" t="n">
        <v>1.5</v>
      </c>
      <c r="O5" s="54" t="n">
        <v>1</v>
      </c>
      <c r="P5" s="54" t="n">
        <v>0.5</v>
      </c>
      <c r="Q5" s="60">
        <f>SUM(M5:P5)</f>
        <v/>
      </c>
      <c r="R5" s="42" t="b">
        <v>1</v>
      </c>
      <c r="S5" s="42" t="b">
        <v>1</v>
      </c>
      <c r="T5" s="42" t="b">
        <v>0</v>
      </c>
      <c r="U5" s="42" t="b">
        <v>0</v>
      </c>
      <c r="V5" s="42" t="n"/>
      <c r="W5" s="42" t="n"/>
      <c r="X5" s="42" t="n"/>
      <c r="Y5" s="45" t="inlineStr">
        <is>
          <t>賞与月の計算ルールが未確認</t>
        </is>
      </c>
      <c r="Z5" s="45" t="inlineStr">
        <is>
          <t>従業員32名／例外：時給者の深夜割増あり</t>
        </is>
      </c>
    </row>
    <row r="6" ht="18.75" customHeight="1" s="236">
      <c r="A6" s="65" t="n">
        <v>1</v>
      </c>
      <c r="B6" s="66" t="inlineStr">
        <is>
          <t>企業001</t>
        </is>
      </c>
      <c r="C6" s="69" t="n"/>
      <c r="D6" s="69" t="n"/>
      <c r="E6" s="69" t="inlineStr">
        <is>
          <t>1. 未着手</t>
        </is>
      </c>
      <c r="F6" s="69" t="n"/>
      <c r="G6" s="69" t="n"/>
      <c r="H6" s="69" t="n"/>
      <c r="I6" s="69" t="n"/>
      <c r="J6" s="69" t="n"/>
      <c r="K6" s="69" t="n"/>
      <c r="L6" s="69" t="n"/>
      <c r="M6" s="77" t="n"/>
      <c r="N6" s="77" t="n"/>
      <c r="O6" s="77" t="n"/>
      <c r="P6" s="77" t="n"/>
      <c r="Q6" s="81">
        <f>SUM(M6:P6)</f>
        <v/>
      </c>
      <c r="R6" s="69" t="b">
        <v>0</v>
      </c>
      <c r="S6" s="69" t="b">
        <v>0</v>
      </c>
      <c r="T6" s="69" t="b">
        <v>0</v>
      </c>
      <c r="U6" s="69" t="b">
        <v>0</v>
      </c>
      <c r="V6" s="83" t="n"/>
      <c r="W6" s="83" t="n"/>
      <c r="X6" s="83" t="n"/>
      <c r="Y6" s="84" t="n"/>
      <c r="Z6" s="84" t="n"/>
    </row>
    <row r="7" ht="18.75" customHeight="1" s="236">
      <c r="A7" s="65" t="n">
        <v>2</v>
      </c>
      <c r="B7" s="66" t="inlineStr">
        <is>
          <t>企業002</t>
        </is>
      </c>
      <c r="C7" s="85" t="n"/>
      <c r="D7" s="85" t="n"/>
      <c r="E7" s="85" t="inlineStr">
        <is>
          <t>1. 未着手</t>
        </is>
      </c>
      <c r="F7" s="85" t="n"/>
      <c r="G7" s="85" t="n"/>
      <c r="H7" s="85" t="n"/>
      <c r="I7" s="85" t="n"/>
      <c r="J7" s="85" t="n"/>
      <c r="K7" s="85" t="n"/>
      <c r="L7" s="85" t="n"/>
      <c r="M7" s="89" t="n"/>
      <c r="N7" s="89" t="n"/>
      <c r="O7" s="89" t="n"/>
      <c r="P7" s="89" t="n"/>
      <c r="Q7" s="81">
        <f>SUM(M7:P7)</f>
        <v/>
      </c>
      <c r="R7" s="85" t="b">
        <v>0</v>
      </c>
      <c r="S7" s="85" t="b">
        <v>0</v>
      </c>
      <c r="T7" s="85" t="b">
        <v>0</v>
      </c>
      <c r="U7" s="85" t="b">
        <v>0</v>
      </c>
      <c r="V7" s="91" t="n"/>
      <c r="W7" s="91" t="n"/>
      <c r="X7" s="91" t="n"/>
      <c r="Y7" s="92" t="n"/>
      <c r="Z7" s="92" t="n"/>
    </row>
    <row r="8" ht="18.75" customHeight="1" s="236">
      <c r="A8" s="65" t="n">
        <v>3</v>
      </c>
      <c r="B8" s="66" t="inlineStr">
        <is>
          <t>企業003</t>
        </is>
      </c>
      <c r="C8" s="69" t="n"/>
      <c r="D8" s="69" t="n"/>
      <c r="E8" s="69" t="inlineStr">
        <is>
          <t>1. 未着手</t>
        </is>
      </c>
      <c r="F8" s="69" t="n"/>
      <c r="G8" s="69" t="n"/>
      <c r="H8" s="69" t="n"/>
      <c r="I8" s="69" t="n"/>
      <c r="J8" s="69" t="n"/>
      <c r="K8" s="69" t="n"/>
      <c r="L8" s="69" t="n"/>
      <c r="M8" s="77" t="n"/>
      <c r="N8" s="77" t="n"/>
      <c r="O8" s="77" t="n"/>
      <c r="P8" s="77" t="n"/>
      <c r="Q8" s="81">
        <f>SUM(M8:P8)</f>
        <v/>
      </c>
      <c r="R8" s="69" t="b">
        <v>0</v>
      </c>
      <c r="S8" s="69" t="b">
        <v>0</v>
      </c>
      <c r="T8" s="69" t="b">
        <v>0</v>
      </c>
      <c r="U8" s="69" t="b">
        <v>0</v>
      </c>
      <c r="V8" s="83" t="n"/>
      <c r="W8" s="83" t="n"/>
      <c r="X8" s="83" t="n"/>
      <c r="Y8" s="84" t="n"/>
      <c r="Z8" s="84" t="n"/>
    </row>
    <row r="9" ht="18.75" customHeight="1" s="236">
      <c r="A9" s="65" t="n">
        <v>4</v>
      </c>
      <c r="B9" s="66" t="inlineStr">
        <is>
          <t>企業004</t>
        </is>
      </c>
      <c r="C9" s="85" t="n"/>
      <c r="D9" s="85" t="n"/>
      <c r="E9" s="85" t="inlineStr">
        <is>
          <t>1. 未着手</t>
        </is>
      </c>
      <c r="F9" s="85" t="n"/>
      <c r="G9" s="85" t="n"/>
      <c r="H9" s="85" t="n"/>
      <c r="I9" s="85" t="n"/>
      <c r="J9" s="85" t="n"/>
      <c r="K9" s="85" t="n"/>
      <c r="L9" s="85" t="n"/>
      <c r="M9" s="89" t="n"/>
      <c r="N9" s="89" t="n"/>
      <c r="O9" s="89" t="n"/>
      <c r="P9" s="89" t="n"/>
      <c r="Q9" s="81">
        <f>SUM(M9:P9)</f>
        <v/>
      </c>
      <c r="R9" s="85" t="b">
        <v>0</v>
      </c>
      <c r="S9" s="85" t="b">
        <v>0</v>
      </c>
      <c r="T9" s="85" t="b">
        <v>0</v>
      </c>
      <c r="U9" s="85" t="b">
        <v>0</v>
      </c>
      <c r="V9" s="91" t="n"/>
      <c r="W9" s="91" t="n"/>
      <c r="X9" s="91" t="n"/>
      <c r="Y9" s="92" t="n"/>
      <c r="Z9" s="92" t="n"/>
    </row>
    <row r="10" ht="18.75" customHeight="1" s="236">
      <c r="A10" s="65" t="n">
        <v>5</v>
      </c>
      <c r="B10" s="66" t="inlineStr">
        <is>
          <t>企業005</t>
        </is>
      </c>
      <c r="C10" s="69" t="n"/>
      <c r="D10" s="69" t="n"/>
      <c r="E10" s="69" t="inlineStr">
        <is>
          <t>1. 未着手</t>
        </is>
      </c>
      <c r="F10" s="69" t="n"/>
      <c r="G10" s="69" t="n"/>
      <c r="H10" s="69" t="n"/>
      <c r="I10" s="69" t="n"/>
      <c r="J10" s="69" t="n"/>
      <c r="K10" s="69" t="n"/>
      <c r="L10" s="69" t="n"/>
      <c r="M10" s="77" t="n"/>
      <c r="N10" s="77" t="n"/>
      <c r="O10" s="77" t="n"/>
      <c r="P10" s="77" t="n"/>
      <c r="Q10" s="81">
        <f>SUM(M10:P10)</f>
        <v/>
      </c>
      <c r="R10" s="69" t="b">
        <v>0</v>
      </c>
      <c r="S10" s="69" t="b">
        <v>0</v>
      </c>
      <c r="T10" s="69" t="b">
        <v>0</v>
      </c>
      <c r="U10" s="69" t="b">
        <v>0</v>
      </c>
      <c r="V10" s="83" t="n"/>
      <c r="W10" s="83" t="n"/>
      <c r="X10" s="83" t="n"/>
      <c r="Y10" s="84" t="n"/>
      <c r="Z10" s="84" t="n"/>
    </row>
    <row r="11" ht="18.75" customHeight="1" s="236">
      <c r="A11" s="65" t="n">
        <v>6</v>
      </c>
      <c r="B11" s="66" t="inlineStr">
        <is>
          <t>企業006</t>
        </is>
      </c>
      <c r="C11" s="85" t="n"/>
      <c r="D11" s="85" t="n"/>
      <c r="E11" s="85" t="inlineStr">
        <is>
          <t>1. 未着手</t>
        </is>
      </c>
      <c r="F11" s="85" t="n"/>
      <c r="G11" s="85" t="n"/>
      <c r="H11" s="85" t="n"/>
      <c r="I11" s="85" t="n"/>
      <c r="J11" s="85" t="n"/>
      <c r="K11" s="85" t="n"/>
      <c r="L11" s="85" t="n"/>
      <c r="M11" s="89" t="n"/>
      <c r="N11" s="89" t="n"/>
      <c r="O11" s="89" t="n"/>
      <c r="P11" s="89" t="n"/>
      <c r="Q11" s="81">
        <f>SUM(M11:P11)</f>
        <v/>
      </c>
      <c r="R11" s="85" t="b">
        <v>0</v>
      </c>
      <c r="S11" s="85" t="b">
        <v>0</v>
      </c>
      <c r="T11" s="85" t="b">
        <v>0</v>
      </c>
      <c r="U11" s="85" t="b">
        <v>0</v>
      </c>
      <c r="V11" s="91" t="n"/>
      <c r="W11" s="91" t="n"/>
      <c r="X11" s="91" t="n"/>
      <c r="Y11" s="92" t="n"/>
      <c r="Z11" s="92" t="n"/>
    </row>
    <row r="12" ht="18.75" customHeight="1" s="236">
      <c r="A12" s="65" t="n">
        <v>7</v>
      </c>
      <c r="B12" s="66" t="inlineStr">
        <is>
          <t>企業007</t>
        </is>
      </c>
      <c r="C12" s="69" t="n"/>
      <c r="D12" s="69" t="n"/>
      <c r="E12" s="69" t="inlineStr">
        <is>
          <t>1. 未着手</t>
        </is>
      </c>
      <c r="F12" s="69" t="n"/>
      <c r="G12" s="69" t="n"/>
      <c r="H12" s="69" t="n"/>
      <c r="I12" s="69" t="n"/>
      <c r="J12" s="69" t="n"/>
      <c r="K12" s="69" t="n"/>
      <c r="L12" s="69" t="n"/>
      <c r="M12" s="77" t="n"/>
      <c r="N12" s="77" t="n"/>
      <c r="O12" s="77" t="n"/>
      <c r="P12" s="77" t="n"/>
      <c r="Q12" s="81">
        <f>SUM(M12:P12)</f>
        <v/>
      </c>
      <c r="R12" s="69" t="b">
        <v>0</v>
      </c>
      <c r="S12" s="69" t="b">
        <v>0</v>
      </c>
      <c r="T12" s="69" t="b">
        <v>0</v>
      </c>
      <c r="U12" s="69" t="b">
        <v>0</v>
      </c>
      <c r="V12" s="83" t="n"/>
      <c r="W12" s="83" t="n"/>
      <c r="X12" s="83" t="n"/>
      <c r="Y12" s="84" t="n"/>
      <c r="Z12" s="84" t="n"/>
    </row>
    <row r="13" ht="18.75" customHeight="1" s="236">
      <c r="A13" s="65" t="n">
        <v>8</v>
      </c>
      <c r="B13" s="66" t="inlineStr">
        <is>
          <t>企業008</t>
        </is>
      </c>
      <c r="C13" s="85" t="n"/>
      <c r="D13" s="85" t="n"/>
      <c r="E13" s="85" t="inlineStr">
        <is>
          <t>1. 未着手</t>
        </is>
      </c>
      <c r="F13" s="85" t="n"/>
      <c r="G13" s="85" t="n"/>
      <c r="H13" s="85" t="n"/>
      <c r="I13" s="85" t="n"/>
      <c r="J13" s="85" t="n"/>
      <c r="K13" s="85" t="n"/>
      <c r="L13" s="85" t="n"/>
      <c r="M13" s="89" t="n"/>
      <c r="N13" s="89" t="n"/>
      <c r="O13" s="89" t="n"/>
      <c r="P13" s="89" t="n"/>
      <c r="Q13" s="81">
        <f>SUM(M13:P13)</f>
        <v/>
      </c>
      <c r="R13" s="85" t="b">
        <v>0</v>
      </c>
      <c r="S13" s="85" t="b">
        <v>0</v>
      </c>
      <c r="T13" s="85" t="b">
        <v>0</v>
      </c>
      <c r="U13" s="85" t="b">
        <v>0</v>
      </c>
      <c r="V13" s="91" t="n"/>
      <c r="W13" s="91" t="n"/>
      <c r="X13" s="91" t="n"/>
      <c r="Y13" s="92" t="n"/>
      <c r="Z13" s="92" t="n"/>
    </row>
    <row r="14" ht="18.75" customHeight="1" s="236">
      <c r="A14" s="65" t="n">
        <v>9</v>
      </c>
      <c r="B14" s="66" t="inlineStr">
        <is>
          <t>企業009</t>
        </is>
      </c>
      <c r="C14" s="69" t="n"/>
      <c r="D14" s="69" t="n"/>
      <c r="E14" s="69" t="inlineStr">
        <is>
          <t>1. 未着手</t>
        </is>
      </c>
      <c r="F14" s="69" t="n"/>
      <c r="G14" s="69" t="n"/>
      <c r="H14" s="69" t="n"/>
      <c r="I14" s="69" t="n"/>
      <c r="J14" s="69" t="n"/>
      <c r="K14" s="69" t="n"/>
      <c r="L14" s="69" t="n"/>
      <c r="M14" s="77" t="n"/>
      <c r="N14" s="77" t="n"/>
      <c r="O14" s="77" t="n"/>
      <c r="P14" s="77" t="n"/>
      <c r="Q14" s="81">
        <f>SUM(M14:P14)</f>
        <v/>
      </c>
      <c r="R14" s="69" t="b">
        <v>0</v>
      </c>
      <c r="S14" s="69" t="b">
        <v>0</v>
      </c>
      <c r="T14" s="69" t="b">
        <v>0</v>
      </c>
      <c r="U14" s="69" t="b">
        <v>0</v>
      </c>
      <c r="V14" s="83" t="n"/>
      <c r="W14" s="83" t="n"/>
      <c r="X14" s="83" t="n"/>
      <c r="Y14" s="84" t="n"/>
      <c r="Z14" s="84" t="n"/>
    </row>
    <row r="15" ht="18.75" customHeight="1" s="236">
      <c r="A15" s="65" t="n">
        <v>10</v>
      </c>
      <c r="B15" s="66" t="inlineStr">
        <is>
          <t>企業010</t>
        </is>
      </c>
      <c r="C15" s="85" t="n"/>
      <c r="D15" s="85" t="n"/>
      <c r="E15" s="85" t="inlineStr">
        <is>
          <t>1. 未着手</t>
        </is>
      </c>
      <c r="F15" s="85" t="n"/>
      <c r="G15" s="85" t="n"/>
      <c r="H15" s="85" t="n"/>
      <c r="I15" s="85" t="n"/>
      <c r="J15" s="85" t="n"/>
      <c r="K15" s="85" t="n"/>
      <c r="L15" s="85" t="n"/>
      <c r="M15" s="89" t="n"/>
      <c r="N15" s="89" t="n"/>
      <c r="O15" s="89" t="n"/>
      <c r="P15" s="89" t="n"/>
      <c r="Q15" s="81">
        <f>SUM(M15:P15)</f>
        <v/>
      </c>
      <c r="R15" s="85" t="b">
        <v>0</v>
      </c>
      <c r="S15" s="85" t="b">
        <v>0</v>
      </c>
      <c r="T15" s="85" t="b">
        <v>0</v>
      </c>
      <c r="U15" s="85" t="b">
        <v>0</v>
      </c>
      <c r="V15" s="91" t="n"/>
      <c r="W15" s="91" t="n"/>
      <c r="X15" s="91" t="n"/>
      <c r="Y15" s="92" t="n"/>
      <c r="Z15" s="92" t="n"/>
    </row>
    <row r="16" ht="18.75" customHeight="1" s="236">
      <c r="A16" s="65" t="n">
        <v>11</v>
      </c>
      <c r="B16" s="66" t="inlineStr">
        <is>
          <t>企業011</t>
        </is>
      </c>
      <c r="C16" s="69" t="n"/>
      <c r="D16" s="69" t="n"/>
      <c r="E16" s="69" t="inlineStr">
        <is>
          <t>1. 未着手</t>
        </is>
      </c>
      <c r="F16" s="69" t="n"/>
      <c r="G16" s="69" t="n"/>
      <c r="H16" s="69" t="n"/>
      <c r="I16" s="69" t="n"/>
      <c r="J16" s="69" t="n"/>
      <c r="K16" s="69" t="n"/>
      <c r="L16" s="69" t="n"/>
      <c r="M16" s="77" t="n"/>
      <c r="N16" s="77" t="n"/>
      <c r="O16" s="77" t="n"/>
      <c r="P16" s="77" t="n"/>
      <c r="Q16" s="81">
        <f>SUM(M16:P16)</f>
        <v/>
      </c>
      <c r="R16" s="69" t="b">
        <v>0</v>
      </c>
      <c r="S16" s="69" t="b">
        <v>0</v>
      </c>
      <c r="T16" s="69" t="b">
        <v>0</v>
      </c>
      <c r="U16" s="69" t="b">
        <v>0</v>
      </c>
      <c r="V16" s="83" t="n"/>
      <c r="W16" s="83" t="n"/>
      <c r="X16" s="83" t="n"/>
      <c r="Y16" s="84" t="n"/>
      <c r="Z16" s="84" t="n"/>
    </row>
    <row r="17" ht="18.75" customHeight="1" s="236">
      <c r="A17" s="65" t="n">
        <v>12</v>
      </c>
      <c r="B17" s="66" t="inlineStr">
        <is>
          <t>企業012</t>
        </is>
      </c>
      <c r="C17" s="85" t="n"/>
      <c r="D17" s="85" t="n"/>
      <c r="E17" s="85" t="inlineStr">
        <is>
          <t>1. 未着手</t>
        </is>
      </c>
      <c r="F17" s="85" t="n"/>
      <c r="G17" s="85" t="n"/>
      <c r="H17" s="85" t="n"/>
      <c r="I17" s="85" t="n"/>
      <c r="J17" s="85" t="n"/>
      <c r="K17" s="85" t="n"/>
      <c r="L17" s="85" t="n"/>
      <c r="M17" s="89" t="n"/>
      <c r="N17" s="89" t="n"/>
      <c r="O17" s="89" t="n"/>
      <c r="P17" s="89" t="n"/>
      <c r="Q17" s="81">
        <f>SUM(M17:P17)</f>
        <v/>
      </c>
      <c r="R17" s="85" t="b">
        <v>0</v>
      </c>
      <c r="S17" s="85" t="b">
        <v>0</v>
      </c>
      <c r="T17" s="85" t="b">
        <v>0</v>
      </c>
      <c r="U17" s="85" t="b">
        <v>0</v>
      </c>
      <c r="V17" s="91" t="n"/>
      <c r="W17" s="91" t="n"/>
      <c r="X17" s="91" t="n"/>
      <c r="Y17" s="92" t="n"/>
      <c r="Z17" s="92" t="n"/>
    </row>
    <row r="18" ht="18.75" customHeight="1" s="236">
      <c r="A18" s="65" t="n">
        <v>13</v>
      </c>
      <c r="B18" s="66" t="inlineStr">
        <is>
          <t>企業013</t>
        </is>
      </c>
      <c r="C18" s="69" t="n"/>
      <c r="D18" s="69" t="n"/>
      <c r="E18" s="69" t="inlineStr">
        <is>
          <t>1. 未着手</t>
        </is>
      </c>
      <c r="F18" s="69" t="n"/>
      <c r="G18" s="69" t="n"/>
      <c r="H18" s="69" t="n"/>
      <c r="I18" s="69" t="n"/>
      <c r="J18" s="69" t="n"/>
      <c r="K18" s="69" t="n"/>
      <c r="L18" s="69" t="n"/>
      <c r="M18" s="77" t="n"/>
      <c r="N18" s="77" t="n"/>
      <c r="O18" s="77" t="n"/>
      <c r="P18" s="77" t="n"/>
      <c r="Q18" s="81">
        <f>SUM(M18:P18)</f>
        <v/>
      </c>
      <c r="R18" s="69" t="b">
        <v>0</v>
      </c>
      <c r="S18" s="69" t="b">
        <v>0</v>
      </c>
      <c r="T18" s="69" t="b">
        <v>0</v>
      </c>
      <c r="U18" s="69" t="b">
        <v>0</v>
      </c>
      <c r="V18" s="83" t="n"/>
      <c r="W18" s="83" t="n"/>
      <c r="X18" s="83" t="n"/>
      <c r="Y18" s="84" t="n"/>
      <c r="Z18" s="84" t="n"/>
    </row>
    <row r="19" ht="18.75" customHeight="1" s="236">
      <c r="A19" s="65" t="n">
        <v>14</v>
      </c>
      <c r="B19" s="66" t="inlineStr">
        <is>
          <t>企業014</t>
        </is>
      </c>
      <c r="C19" s="85" t="n"/>
      <c r="D19" s="85" t="n"/>
      <c r="E19" s="85" t="inlineStr">
        <is>
          <t>1. 未着手</t>
        </is>
      </c>
      <c r="F19" s="85" t="n"/>
      <c r="G19" s="85" t="n"/>
      <c r="H19" s="85" t="n"/>
      <c r="I19" s="85" t="n"/>
      <c r="J19" s="85" t="n"/>
      <c r="K19" s="85" t="n"/>
      <c r="L19" s="85" t="n"/>
      <c r="M19" s="89" t="n"/>
      <c r="N19" s="89" t="n"/>
      <c r="O19" s="89" t="n"/>
      <c r="P19" s="89" t="n"/>
      <c r="Q19" s="81">
        <f>SUM(M19:P19)</f>
        <v/>
      </c>
      <c r="R19" s="85" t="b">
        <v>0</v>
      </c>
      <c r="S19" s="85" t="b">
        <v>0</v>
      </c>
      <c r="T19" s="85" t="b">
        <v>0</v>
      </c>
      <c r="U19" s="85" t="b">
        <v>0</v>
      </c>
      <c r="V19" s="91" t="n"/>
      <c r="W19" s="91" t="n"/>
      <c r="X19" s="91" t="n"/>
      <c r="Y19" s="92" t="n"/>
      <c r="Z19" s="92" t="n"/>
    </row>
    <row r="20" ht="18.75" customHeight="1" s="236">
      <c r="A20" s="65" t="n">
        <v>15</v>
      </c>
      <c r="B20" s="66" t="inlineStr">
        <is>
          <t>企業015</t>
        </is>
      </c>
      <c r="C20" s="69" t="n"/>
      <c r="D20" s="69" t="n"/>
      <c r="E20" s="69" t="inlineStr">
        <is>
          <t>1. 未着手</t>
        </is>
      </c>
      <c r="F20" s="69" t="n"/>
      <c r="G20" s="69" t="n"/>
      <c r="H20" s="69" t="n"/>
      <c r="I20" s="69" t="n"/>
      <c r="J20" s="69" t="n"/>
      <c r="K20" s="69" t="n"/>
      <c r="L20" s="69" t="n"/>
      <c r="M20" s="77" t="n"/>
      <c r="N20" s="77" t="n"/>
      <c r="O20" s="77" t="n"/>
      <c r="P20" s="77" t="n"/>
      <c r="Q20" s="81">
        <f>SUM(M20:P20)</f>
        <v/>
      </c>
      <c r="R20" s="69" t="b">
        <v>0</v>
      </c>
      <c r="S20" s="69" t="b">
        <v>0</v>
      </c>
      <c r="T20" s="69" t="b">
        <v>0</v>
      </c>
      <c r="U20" s="69" t="b">
        <v>0</v>
      </c>
      <c r="V20" s="83" t="n"/>
      <c r="W20" s="83" t="n"/>
      <c r="X20" s="83" t="n"/>
      <c r="Y20" s="84" t="n"/>
      <c r="Z20" s="84" t="n"/>
    </row>
    <row r="21" ht="18.75" customHeight="1" s="236">
      <c r="A21" s="65" t="n">
        <v>16</v>
      </c>
      <c r="B21" s="66" t="inlineStr">
        <is>
          <t>企業016</t>
        </is>
      </c>
      <c r="C21" s="85" t="n"/>
      <c r="D21" s="85" t="n"/>
      <c r="E21" s="85" t="inlineStr">
        <is>
          <t>1. 未着手</t>
        </is>
      </c>
      <c r="F21" s="85" t="n"/>
      <c r="G21" s="85" t="n"/>
      <c r="H21" s="85" t="n"/>
      <c r="I21" s="85" t="n"/>
      <c r="J21" s="85" t="n"/>
      <c r="K21" s="85" t="n"/>
      <c r="L21" s="85" t="n"/>
      <c r="M21" s="89" t="n"/>
      <c r="N21" s="89" t="n"/>
      <c r="O21" s="89" t="n"/>
      <c r="P21" s="89" t="n"/>
      <c r="Q21" s="81">
        <f>SUM(M21:P21)</f>
        <v/>
      </c>
      <c r="R21" s="85" t="b">
        <v>0</v>
      </c>
      <c r="S21" s="85" t="b">
        <v>0</v>
      </c>
      <c r="T21" s="85" t="b">
        <v>0</v>
      </c>
      <c r="U21" s="85" t="b">
        <v>0</v>
      </c>
      <c r="V21" s="91" t="n"/>
      <c r="W21" s="91" t="n"/>
      <c r="X21" s="91" t="n"/>
      <c r="Y21" s="92" t="n"/>
      <c r="Z21" s="92" t="n"/>
    </row>
    <row r="22" ht="18.75" customHeight="1" s="236">
      <c r="A22" s="65" t="n">
        <v>17</v>
      </c>
      <c r="B22" s="66" t="inlineStr">
        <is>
          <t>企業017</t>
        </is>
      </c>
      <c r="C22" s="69" t="n"/>
      <c r="D22" s="69" t="n"/>
      <c r="E22" s="69" t="inlineStr">
        <is>
          <t>1. 未着手</t>
        </is>
      </c>
      <c r="F22" s="69" t="n"/>
      <c r="G22" s="69" t="n"/>
      <c r="H22" s="69" t="n"/>
      <c r="I22" s="69" t="n"/>
      <c r="J22" s="69" t="n"/>
      <c r="K22" s="69" t="n"/>
      <c r="L22" s="69" t="n"/>
      <c r="M22" s="77" t="n"/>
      <c r="N22" s="77" t="n"/>
      <c r="O22" s="77" t="n"/>
      <c r="P22" s="77" t="n"/>
      <c r="Q22" s="81">
        <f>SUM(M22:P22)</f>
        <v/>
      </c>
      <c r="R22" s="69" t="b">
        <v>0</v>
      </c>
      <c r="S22" s="69" t="b">
        <v>0</v>
      </c>
      <c r="T22" s="69" t="b">
        <v>0</v>
      </c>
      <c r="U22" s="69" t="b">
        <v>0</v>
      </c>
      <c r="V22" s="83" t="n"/>
      <c r="W22" s="83" t="n"/>
      <c r="X22" s="83" t="n"/>
      <c r="Y22" s="84" t="n"/>
      <c r="Z22" s="84" t="n"/>
    </row>
    <row r="23" ht="18.75" customHeight="1" s="236">
      <c r="A23" s="65" t="n">
        <v>18</v>
      </c>
      <c r="B23" s="66" t="inlineStr">
        <is>
          <t>企業018</t>
        </is>
      </c>
      <c r="C23" s="85" t="n"/>
      <c r="D23" s="85" t="n"/>
      <c r="E23" s="85" t="inlineStr">
        <is>
          <t>1. 未着手</t>
        </is>
      </c>
      <c r="F23" s="85" t="n"/>
      <c r="G23" s="85" t="n"/>
      <c r="H23" s="85" t="n"/>
      <c r="I23" s="85" t="n"/>
      <c r="J23" s="85" t="n"/>
      <c r="K23" s="85" t="n"/>
      <c r="L23" s="85" t="n"/>
      <c r="M23" s="89" t="n"/>
      <c r="N23" s="89" t="n"/>
      <c r="O23" s="89" t="n"/>
      <c r="P23" s="89" t="n"/>
      <c r="Q23" s="81">
        <f>SUM(M23:P23)</f>
        <v/>
      </c>
      <c r="R23" s="85" t="b">
        <v>0</v>
      </c>
      <c r="S23" s="85" t="b">
        <v>0</v>
      </c>
      <c r="T23" s="85" t="b">
        <v>0</v>
      </c>
      <c r="U23" s="85" t="b">
        <v>0</v>
      </c>
      <c r="V23" s="91" t="n"/>
      <c r="W23" s="91" t="n"/>
      <c r="X23" s="91" t="n"/>
      <c r="Y23" s="92" t="n"/>
      <c r="Z23" s="92" t="n"/>
    </row>
    <row r="24" ht="18.75" customHeight="1" s="236">
      <c r="A24" s="65" t="n">
        <v>19</v>
      </c>
      <c r="B24" s="66" t="inlineStr">
        <is>
          <t>企業019</t>
        </is>
      </c>
      <c r="C24" s="69" t="n"/>
      <c r="D24" s="69" t="n"/>
      <c r="E24" s="69" t="inlineStr">
        <is>
          <t>1. 未着手</t>
        </is>
      </c>
      <c r="F24" s="69" t="n"/>
      <c r="G24" s="69" t="n"/>
      <c r="H24" s="69" t="n"/>
      <c r="I24" s="69" t="n"/>
      <c r="J24" s="69" t="n"/>
      <c r="K24" s="69" t="n"/>
      <c r="L24" s="69" t="n"/>
      <c r="M24" s="77" t="n"/>
      <c r="N24" s="77" t="n"/>
      <c r="O24" s="77" t="n"/>
      <c r="P24" s="77" t="n"/>
      <c r="Q24" s="81">
        <f>SUM(M24:P24)</f>
        <v/>
      </c>
      <c r="R24" s="69" t="b">
        <v>0</v>
      </c>
      <c r="S24" s="69" t="b">
        <v>0</v>
      </c>
      <c r="T24" s="69" t="b">
        <v>0</v>
      </c>
      <c r="U24" s="69" t="b">
        <v>0</v>
      </c>
      <c r="V24" s="83" t="n"/>
      <c r="W24" s="83" t="n"/>
      <c r="X24" s="83" t="n"/>
      <c r="Y24" s="84" t="n"/>
      <c r="Z24" s="84" t="n"/>
    </row>
    <row r="25" ht="18.75" customHeight="1" s="236">
      <c r="A25" s="65" t="n">
        <v>20</v>
      </c>
      <c r="B25" s="66" t="inlineStr">
        <is>
          <t>企業020</t>
        </is>
      </c>
      <c r="C25" s="85" t="n"/>
      <c r="D25" s="85" t="n"/>
      <c r="E25" s="85" t="inlineStr">
        <is>
          <t>1. 未着手</t>
        </is>
      </c>
      <c r="F25" s="85" t="n"/>
      <c r="G25" s="85" t="n"/>
      <c r="H25" s="85" t="n"/>
      <c r="I25" s="85" t="n"/>
      <c r="J25" s="85" t="n"/>
      <c r="K25" s="85" t="n"/>
      <c r="L25" s="85" t="n"/>
      <c r="M25" s="89" t="n"/>
      <c r="N25" s="89" t="n"/>
      <c r="O25" s="89" t="n"/>
      <c r="P25" s="89" t="n"/>
      <c r="Q25" s="81">
        <f>SUM(M25:P25)</f>
        <v/>
      </c>
      <c r="R25" s="85" t="b">
        <v>0</v>
      </c>
      <c r="S25" s="85" t="b">
        <v>0</v>
      </c>
      <c r="T25" s="85" t="b">
        <v>0</v>
      </c>
      <c r="U25" s="85" t="b">
        <v>0</v>
      </c>
      <c r="V25" s="91" t="n"/>
      <c r="W25" s="91" t="n"/>
      <c r="X25" s="91" t="n"/>
      <c r="Y25" s="92" t="n"/>
      <c r="Z25" s="92" t="n"/>
    </row>
    <row r="26" ht="18.75" customHeight="1" s="236">
      <c r="A26" s="65" t="n">
        <v>21</v>
      </c>
      <c r="B26" s="66" t="inlineStr">
        <is>
          <t>企業021</t>
        </is>
      </c>
      <c r="C26" s="69" t="n"/>
      <c r="D26" s="69" t="n"/>
      <c r="E26" s="69" t="inlineStr">
        <is>
          <t>1. 未着手</t>
        </is>
      </c>
      <c r="F26" s="69" t="n"/>
      <c r="G26" s="69" t="n"/>
      <c r="H26" s="69" t="n"/>
      <c r="I26" s="69" t="n"/>
      <c r="J26" s="69" t="n"/>
      <c r="K26" s="69" t="n"/>
      <c r="L26" s="69" t="n"/>
      <c r="M26" s="77" t="n"/>
      <c r="N26" s="77" t="n"/>
      <c r="O26" s="77" t="n"/>
      <c r="P26" s="77" t="n"/>
      <c r="Q26" s="81">
        <f>SUM(M26:P26)</f>
        <v/>
      </c>
      <c r="R26" s="69" t="b">
        <v>0</v>
      </c>
      <c r="S26" s="69" t="b">
        <v>0</v>
      </c>
      <c r="T26" s="69" t="b">
        <v>0</v>
      </c>
      <c r="U26" s="69" t="b">
        <v>0</v>
      </c>
      <c r="V26" s="83" t="n"/>
      <c r="W26" s="83" t="n"/>
      <c r="X26" s="83" t="n"/>
      <c r="Y26" s="84" t="n"/>
      <c r="Z26" s="84" t="n"/>
    </row>
    <row r="27" ht="18.75" customHeight="1" s="236">
      <c r="A27" s="65" t="n">
        <v>22</v>
      </c>
      <c r="B27" s="66" t="inlineStr">
        <is>
          <t>企業022</t>
        </is>
      </c>
      <c r="C27" s="85" t="n"/>
      <c r="D27" s="85" t="n"/>
      <c r="E27" s="85" t="inlineStr">
        <is>
          <t>1. 未着手</t>
        </is>
      </c>
      <c r="F27" s="85" t="n"/>
      <c r="G27" s="85" t="n"/>
      <c r="H27" s="85" t="n"/>
      <c r="I27" s="85" t="n"/>
      <c r="J27" s="85" t="n"/>
      <c r="K27" s="85" t="n"/>
      <c r="L27" s="85" t="n"/>
      <c r="M27" s="89" t="n"/>
      <c r="N27" s="89" t="n"/>
      <c r="O27" s="89" t="n"/>
      <c r="P27" s="89" t="n"/>
      <c r="Q27" s="81">
        <f>SUM(M27:P27)</f>
        <v/>
      </c>
      <c r="R27" s="85" t="b">
        <v>0</v>
      </c>
      <c r="S27" s="85" t="b">
        <v>0</v>
      </c>
      <c r="T27" s="85" t="b">
        <v>0</v>
      </c>
      <c r="U27" s="85" t="b">
        <v>0</v>
      </c>
      <c r="V27" s="91" t="n"/>
      <c r="W27" s="91" t="n"/>
      <c r="X27" s="91" t="n"/>
      <c r="Y27" s="92" t="n"/>
      <c r="Z27" s="92" t="n"/>
    </row>
    <row r="28" ht="18.75" customHeight="1" s="236">
      <c r="A28" s="65" t="n">
        <v>23</v>
      </c>
      <c r="B28" s="66" t="inlineStr">
        <is>
          <t>企業023</t>
        </is>
      </c>
      <c r="C28" s="69" t="n"/>
      <c r="D28" s="69" t="n"/>
      <c r="E28" s="69" t="inlineStr">
        <is>
          <t>1. 未着手</t>
        </is>
      </c>
      <c r="F28" s="69" t="n"/>
      <c r="G28" s="69" t="n"/>
      <c r="H28" s="69" t="n"/>
      <c r="I28" s="69" t="n"/>
      <c r="J28" s="69" t="n"/>
      <c r="K28" s="69" t="n"/>
      <c r="L28" s="69" t="n"/>
      <c r="M28" s="77" t="n"/>
      <c r="N28" s="77" t="n"/>
      <c r="O28" s="77" t="n"/>
      <c r="P28" s="77" t="n"/>
      <c r="Q28" s="81">
        <f>SUM(M28:P28)</f>
        <v/>
      </c>
      <c r="R28" s="69" t="b">
        <v>0</v>
      </c>
      <c r="S28" s="69" t="b">
        <v>0</v>
      </c>
      <c r="T28" s="69" t="b">
        <v>0</v>
      </c>
      <c r="U28" s="69" t="b">
        <v>0</v>
      </c>
      <c r="V28" s="83" t="n"/>
      <c r="W28" s="83" t="n"/>
      <c r="X28" s="83" t="n"/>
      <c r="Y28" s="84" t="n"/>
      <c r="Z28" s="84" t="n"/>
    </row>
    <row r="29" ht="18.75" customHeight="1" s="236">
      <c r="A29" s="65" t="n">
        <v>24</v>
      </c>
      <c r="B29" s="66" t="inlineStr">
        <is>
          <t>企業024</t>
        </is>
      </c>
      <c r="C29" s="85" t="n"/>
      <c r="D29" s="85" t="n"/>
      <c r="E29" s="85" t="inlineStr">
        <is>
          <t>1. 未着手</t>
        </is>
      </c>
      <c r="F29" s="85" t="n"/>
      <c r="G29" s="85" t="n"/>
      <c r="H29" s="85" t="n"/>
      <c r="I29" s="85" t="n"/>
      <c r="J29" s="85" t="n"/>
      <c r="K29" s="85" t="n"/>
      <c r="L29" s="85" t="n"/>
      <c r="M29" s="89" t="n"/>
      <c r="N29" s="89" t="n"/>
      <c r="O29" s="89" t="n"/>
      <c r="P29" s="89" t="n"/>
      <c r="Q29" s="81">
        <f>SUM(M29:P29)</f>
        <v/>
      </c>
      <c r="R29" s="85" t="b">
        <v>0</v>
      </c>
      <c r="S29" s="85" t="b">
        <v>0</v>
      </c>
      <c r="T29" s="85" t="b">
        <v>0</v>
      </c>
      <c r="U29" s="85" t="b">
        <v>0</v>
      </c>
      <c r="V29" s="91" t="n"/>
      <c r="W29" s="91" t="n"/>
      <c r="X29" s="91" t="n"/>
      <c r="Y29" s="92" t="n"/>
      <c r="Z29" s="92" t="n"/>
    </row>
    <row r="30" ht="18.75" customHeight="1" s="236">
      <c r="A30" s="65" t="n">
        <v>25</v>
      </c>
      <c r="B30" s="66" t="inlineStr">
        <is>
          <t>企業025</t>
        </is>
      </c>
      <c r="C30" s="69" t="n"/>
      <c r="D30" s="69" t="n"/>
      <c r="E30" s="69" t="inlineStr">
        <is>
          <t>1. 未着手</t>
        </is>
      </c>
      <c r="F30" s="69" t="n"/>
      <c r="G30" s="69" t="n"/>
      <c r="H30" s="69" t="n"/>
      <c r="I30" s="69" t="n"/>
      <c r="J30" s="69" t="n"/>
      <c r="K30" s="69" t="n"/>
      <c r="L30" s="69" t="n"/>
      <c r="M30" s="77" t="n"/>
      <c r="N30" s="77" t="n"/>
      <c r="O30" s="77" t="n"/>
      <c r="P30" s="77" t="n"/>
      <c r="Q30" s="81">
        <f>SUM(M30:P30)</f>
        <v/>
      </c>
      <c r="R30" s="69" t="b">
        <v>0</v>
      </c>
      <c r="S30" s="69" t="b">
        <v>0</v>
      </c>
      <c r="T30" s="69" t="b">
        <v>0</v>
      </c>
      <c r="U30" s="69" t="b">
        <v>0</v>
      </c>
      <c r="V30" s="83" t="n"/>
      <c r="W30" s="83" t="n"/>
      <c r="X30" s="83" t="n"/>
      <c r="Y30" s="84" t="n"/>
      <c r="Z30" s="84" t="n"/>
    </row>
    <row r="31" ht="18.75" customHeight="1" s="236">
      <c r="A31" s="65" t="n">
        <v>26</v>
      </c>
      <c r="B31" s="66" t="inlineStr">
        <is>
          <t>企業026</t>
        </is>
      </c>
      <c r="C31" s="85" t="n"/>
      <c r="D31" s="85" t="n"/>
      <c r="E31" s="85" t="inlineStr">
        <is>
          <t>1. 未着手</t>
        </is>
      </c>
      <c r="F31" s="85" t="n"/>
      <c r="G31" s="85" t="n"/>
      <c r="H31" s="85" t="n"/>
      <c r="I31" s="85" t="n"/>
      <c r="J31" s="85" t="n"/>
      <c r="K31" s="85" t="n"/>
      <c r="L31" s="85" t="n"/>
      <c r="M31" s="89" t="n"/>
      <c r="N31" s="89" t="n"/>
      <c r="O31" s="89" t="n"/>
      <c r="P31" s="89" t="n"/>
      <c r="Q31" s="81">
        <f>SUM(M31:P31)</f>
        <v/>
      </c>
      <c r="R31" s="85" t="b">
        <v>0</v>
      </c>
      <c r="S31" s="85" t="b">
        <v>0</v>
      </c>
      <c r="T31" s="85" t="b">
        <v>0</v>
      </c>
      <c r="U31" s="85" t="b">
        <v>0</v>
      </c>
      <c r="V31" s="91" t="n"/>
      <c r="W31" s="91" t="n"/>
      <c r="X31" s="91" t="n"/>
      <c r="Y31" s="92" t="n"/>
      <c r="Z31" s="92" t="n"/>
    </row>
    <row r="32" ht="18.75" customHeight="1" s="236">
      <c r="A32" s="65" t="n">
        <v>27</v>
      </c>
      <c r="B32" s="66" t="inlineStr">
        <is>
          <t>企業027</t>
        </is>
      </c>
      <c r="C32" s="69" t="n"/>
      <c r="D32" s="69" t="n"/>
      <c r="E32" s="69" t="inlineStr">
        <is>
          <t>1. 未着手</t>
        </is>
      </c>
      <c r="F32" s="69" t="n"/>
      <c r="G32" s="69" t="n"/>
      <c r="H32" s="69" t="n"/>
      <c r="I32" s="69" t="n"/>
      <c r="J32" s="69" t="n"/>
      <c r="K32" s="69" t="n"/>
      <c r="L32" s="69" t="n"/>
      <c r="M32" s="77" t="n"/>
      <c r="N32" s="77" t="n"/>
      <c r="O32" s="77" t="n"/>
      <c r="P32" s="77" t="n"/>
      <c r="Q32" s="81">
        <f>SUM(M32:P32)</f>
        <v/>
      </c>
      <c r="R32" s="69" t="b">
        <v>0</v>
      </c>
      <c r="S32" s="69" t="b">
        <v>0</v>
      </c>
      <c r="T32" s="69" t="b">
        <v>0</v>
      </c>
      <c r="U32" s="69" t="b">
        <v>0</v>
      </c>
      <c r="V32" s="83" t="n"/>
      <c r="W32" s="83" t="n"/>
      <c r="X32" s="83" t="n"/>
      <c r="Y32" s="84" t="n"/>
      <c r="Z32" s="84" t="n"/>
    </row>
    <row r="33" ht="18.75" customHeight="1" s="236">
      <c r="A33" s="65" t="n">
        <v>28</v>
      </c>
      <c r="B33" s="66" t="inlineStr">
        <is>
          <t>企業028</t>
        </is>
      </c>
      <c r="C33" s="85" t="n"/>
      <c r="D33" s="85" t="n"/>
      <c r="E33" s="85" t="inlineStr">
        <is>
          <t>1. 未着手</t>
        </is>
      </c>
      <c r="F33" s="85" t="n"/>
      <c r="G33" s="85" t="n"/>
      <c r="H33" s="85" t="n"/>
      <c r="I33" s="85" t="n"/>
      <c r="J33" s="85" t="n"/>
      <c r="K33" s="85" t="n"/>
      <c r="L33" s="85" t="n"/>
      <c r="M33" s="89" t="n"/>
      <c r="N33" s="89" t="n"/>
      <c r="O33" s="89" t="n"/>
      <c r="P33" s="89" t="n"/>
      <c r="Q33" s="81">
        <f>SUM(M33:P33)</f>
        <v/>
      </c>
      <c r="R33" s="85" t="b">
        <v>0</v>
      </c>
      <c r="S33" s="85" t="b">
        <v>0</v>
      </c>
      <c r="T33" s="85" t="b">
        <v>0</v>
      </c>
      <c r="U33" s="85" t="b">
        <v>0</v>
      </c>
      <c r="V33" s="91" t="n"/>
      <c r="W33" s="91" t="n"/>
      <c r="X33" s="91" t="n"/>
      <c r="Y33" s="92" t="n"/>
      <c r="Z33" s="92" t="n"/>
    </row>
    <row r="34" ht="18.75" customHeight="1" s="236">
      <c r="A34" s="65" t="n">
        <v>29</v>
      </c>
      <c r="B34" s="66" t="inlineStr">
        <is>
          <t>企業029</t>
        </is>
      </c>
      <c r="C34" s="69" t="n"/>
      <c r="D34" s="69" t="n"/>
      <c r="E34" s="69" t="inlineStr">
        <is>
          <t>1. 未着手</t>
        </is>
      </c>
      <c r="F34" s="69" t="n"/>
      <c r="G34" s="69" t="n"/>
      <c r="H34" s="69" t="n"/>
      <c r="I34" s="69" t="n"/>
      <c r="J34" s="69" t="n"/>
      <c r="K34" s="69" t="n"/>
      <c r="L34" s="69" t="n"/>
      <c r="M34" s="77" t="n"/>
      <c r="N34" s="77" t="n"/>
      <c r="O34" s="77" t="n"/>
      <c r="P34" s="77" t="n"/>
      <c r="Q34" s="81">
        <f>SUM(M34:P34)</f>
        <v/>
      </c>
      <c r="R34" s="69" t="b">
        <v>0</v>
      </c>
      <c r="S34" s="69" t="b">
        <v>0</v>
      </c>
      <c r="T34" s="69" t="b">
        <v>0</v>
      </c>
      <c r="U34" s="69" t="b">
        <v>0</v>
      </c>
      <c r="V34" s="83" t="n"/>
      <c r="W34" s="83" t="n"/>
      <c r="X34" s="83" t="n"/>
      <c r="Y34" s="84" t="n"/>
      <c r="Z34" s="84" t="n"/>
    </row>
    <row r="35" ht="18.75" customHeight="1" s="236">
      <c r="A35" s="65" t="n">
        <v>30</v>
      </c>
      <c r="B35" s="66" t="inlineStr">
        <is>
          <t>企業030</t>
        </is>
      </c>
      <c r="C35" s="85" t="n"/>
      <c r="D35" s="85" t="n"/>
      <c r="E35" s="85" t="inlineStr">
        <is>
          <t>1. 未着手</t>
        </is>
      </c>
      <c r="F35" s="85" t="n"/>
      <c r="G35" s="85" t="n"/>
      <c r="H35" s="85" t="n"/>
      <c r="I35" s="85" t="n"/>
      <c r="J35" s="85" t="n"/>
      <c r="K35" s="85" t="n"/>
      <c r="L35" s="85" t="n"/>
      <c r="M35" s="89" t="n"/>
      <c r="N35" s="89" t="n"/>
      <c r="O35" s="89" t="n"/>
      <c r="P35" s="89" t="n"/>
      <c r="Q35" s="81">
        <f>SUM(M35:P35)</f>
        <v/>
      </c>
      <c r="R35" s="85" t="b">
        <v>0</v>
      </c>
      <c r="S35" s="85" t="b">
        <v>0</v>
      </c>
      <c r="T35" s="85" t="b">
        <v>0</v>
      </c>
      <c r="U35" s="85" t="b">
        <v>0</v>
      </c>
      <c r="V35" s="91" t="n"/>
      <c r="W35" s="91" t="n"/>
      <c r="X35" s="91" t="n"/>
      <c r="Y35" s="92" t="n"/>
      <c r="Z35" s="92" t="n"/>
    </row>
    <row r="36" ht="18.75" customHeight="1" s="236">
      <c r="A36" s="65" t="n">
        <v>31</v>
      </c>
      <c r="B36" s="66" t="inlineStr">
        <is>
          <t>企業031</t>
        </is>
      </c>
      <c r="C36" s="69" t="n"/>
      <c r="D36" s="69" t="n"/>
      <c r="E36" s="69" t="inlineStr">
        <is>
          <t>1. 未着手</t>
        </is>
      </c>
      <c r="F36" s="69" t="n"/>
      <c r="G36" s="69" t="n"/>
      <c r="H36" s="69" t="n"/>
      <c r="I36" s="69" t="n"/>
      <c r="J36" s="69" t="n"/>
      <c r="K36" s="69" t="n"/>
      <c r="L36" s="69" t="n"/>
      <c r="M36" s="77" t="n"/>
      <c r="N36" s="77" t="n"/>
      <c r="O36" s="77" t="n"/>
      <c r="P36" s="77" t="n"/>
      <c r="Q36" s="81">
        <f>SUM(M36:P36)</f>
        <v/>
      </c>
      <c r="R36" s="69" t="b">
        <v>0</v>
      </c>
      <c r="S36" s="69" t="b">
        <v>0</v>
      </c>
      <c r="T36" s="69" t="b">
        <v>0</v>
      </c>
      <c r="U36" s="69" t="b">
        <v>0</v>
      </c>
      <c r="V36" s="83" t="n"/>
      <c r="W36" s="83" t="n"/>
      <c r="X36" s="83" t="n"/>
      <c r="Y36" s="84" t="n"/>
      <c r="Z36" s="84" t="n"/>
    </row>
    <row r="37" ht="18.75" customHeight="1" s="236">
      <c r="A37" s="65" t="n">
        <v>32</v>
      </c>
      <c r="B37" s="66" t="inlineStr">
        <is>
          <t>企業032</t>
        </is>
      </c>
      <c r="C37" s="85" t="n"/>
      <c r="D37" s="85" t="n"/>
      <c r="E37" s="85" t="inlineStr">
        <is>
          <t>1. 未着手</t>
        </is>
      </c>
      <c r="F37" s="85" t="n"/>
      <c r="G37" s="85" t="n"/>
      <c r="H37" s="85" t="n"/>
      <c r="I37" s="85" t="n"/>
      <c r="J37" s="85" t="n"/>
      <c r="K37" s="85" t="n"/>
      <c r="L37" s="85" t="n"/>
      <c r="M37" s="89" t="n"/>
      <c r="N37" s="89" t="n"/>
      <c r="O37" s="89" t="n"/>
      <c r="P37" s="89" t="n"/>
      <c r="Q37" s="81">
        <f>SUM(M37:P37)</f>
        <v/>
      </c>
      <c r="R37" s="85" t="b">
        <v>0</v>
      </c>
      <c r="S37" s="85" t="b">
        <v>0</v>
      </c>
      <c r="T37" s="85" t="b">
        <v>0</v>
      </c>
      <c r="U37" s="85" t="b">
        <v>0</v>
      </c>
      <c r="V37" s="91" t="n"/>
      <c r="W37" s="91" t="n"/>
      <c r="X37" s="91" t="n"/>
      <c r="Y37" s="92" t="n"/>
      <c r="Z37" s="92" t="n"/>
    </row>
    <row r="38" ht="18.75" customHeight="1" s="236">
      <c r="A38" s="65" t="n">
        <v>33</v>
      </c>
      <c r="B38" s="66" t="inlineStr">
        <is>
          <t>企業033</t>
        </is>
      </c>
      <c r="C38" s="69" t="n"/>
      <c r="D38" s="69" t="n"/>
      <c r="E38" s="69" t="inlineStr">
        <is>
          <t>1. 未着手</t>
        </is>
      </c>
      <c r="F38" s="69" t="n"/>
      <c r="G38" s="69" t="n"/>
      <c r="H38" s="69" t="n"/>
      <c r="I38" s="69" t="n"/>
      <c r="J38" s="69" t="n"/>
      <c r="K38" s="69" t="n"/>
      <c r="L38" s="69" t="n"/>
      <c r="M38" s="77" t="n"/>
      <c r="N38" s="77" t="n"/>
      <c r="O38" s="77" t="n"/>
      <c r="P38" s="77" t="n"/>
      <c r="Q38" s="81">
        <f>SUM(M38:P38)</f>
        <v/>
      </c>
      <c r="R38" s="69" t="b">
        <v>0</v>
      </c>
      <c r="S38" s="69" t="b">
        <v>0</v>
      </c>
      <c r="T38" s="69" t="b">
        <v>0</v>
      </c>
      <c r="U38" s="69" t="b">
        <v>0</v>
      </c>
      <c r="V38" s="83" t="n"/>
      <c r="W38" s="83" t="n"/>
      <c r="X38" s="83" t="n"/>
      <c r="Y38" s="84" t="n"/>
      <c r="Z38" s="84" t="n"/>
    </row>
    <row r="39" ht="18.75" customHeight="1" s="236">
      <c r="A39" s="65" t="n">
        <v>34</v>
      </c>
      <c r="B39" s="66" t="inlineStr">
        <is>
          <t>企業034</t>
        </is>
      </c>
      <c r="C39" s="85" t="n"/>
      <c r="D39" s="85" t="n"/>
      <c r="E39" s="85" t="inlineStr">
        <is>
          <t>1. 未着手</t>
        </is>
      </c>
      <c r="F39" s="85" t="n"/>
      <c r="G39" s="85" t="n"/>
      <c r="H39" s="85" t="n"/>
      <c r="I39" s="85" t="n"/>
      <c r="J39" s="85" t="n"/>
      <c r="K39" s="85" t="n"/>
      <c r="L39" s="85" t="n"/>
      <c r="M39" s="89" t="n"/>
      <c r="N39" s="89" t="n"/>
      <c r="O39" s="89" t="n"/>
      <c r="P39" s="89" t="n"/>
      <c r="Q39" s="81">
        <f>SUM(M39:P39)</f>
        <v/>
      </c>
      <c r="R39" s="85" t="b">
        <v>0</v>
      </c>
      <c r="S39" s="85" t="b">
        <v>0</v>
      </c>
      <c r="T39" s="85" t="b">
        <v>0</v>
      </c>
      <c r="U39" s="85" t="b">
        <v>0</v>
      </c>
      <c r="V39" s="91" t="n"/>
      <c r="W39" s="91" t="n"/>
      <c r="X39" s="91" t="n"/>
      <c r="Y39" s="92" t="n"/>
      <c r="Z39" s="92" t="n"/>
    </row>
    <row r="40" ht="18.75" customHeight="1" s="236">
      <c r="A40" s="65" t="n">
        <v>35</v>
      </c>
      <c r="B40" s="66" t="inlineStr">
        <is>
          <t>企業035</t>
        </is>
      </c>
      <c r="C40" s="69" t="n"/>
      <c r="D40" s="69" t="n"/>
      <c r="E40" s="69" t="inlineStr">
        <is>
          <t>1. 未着手</t>
        </is>
      </c>
      <c r="F40" s="69" t="n"/>
      <c r="G40" s="69" t="n"/>
      <c r="H40" s="69" t="n"/>
      <c r="I40" s="69" t="n"/>
      <c r="J40" s="69" t="n"/>
      <c r="K40" s="69" t="n"/>
      <c r="L40" s="69" t="n"/>
      <c r="M40" s="77" t="n"/>
      <c r="N40" s="77" t="n"/>
      <c r="O40" s="77" t="n"/>
      <c r="P40" s="77" t="n"/>
      <c r="Q40" s="81">
        <f>SUM(M40:P40)</f>
        <v/>
      </c>
      <c r="R40" s="69" t="b">
        <v>0</v>
      </c>
      <c r="S40" s="69" t="b">
        <v>0</v>
      </c>
      <c r="T40" s="69" t="b">
        <v>0</v>
      </c>
      <c r="U40" s="69" t="b">
        <v>0</v>
      </c>
      <c r="V40" s="83" t="n"/>
      <c r="W40" s="83" t="n"/>
      <c r="X40" s="83" t="n"/>
      <c r="Y40" s="84" t="n"/>
      <c r="Z40" s="84" t="n"/>
    </row>
    <row r="41" ht="18.75" customHeight="1" s="236">
      <c r="A41" s="65" t="n">
        <v>36</v>
      </c>
      <c r="B41" s="66" t="inlineStr">
        <is>
          <t>企業036</t>
        </is>
      </c>
      <c r="C41" s="85" t="n"/>
      <c r="D41" s="85" t="n"/>
      <c r="E41" s="85" t="inlineStr">
        <is>
          <t>1. 未着手</t>
        </is>
      </c>
      <c r="F41" s="85" t="n"/>
      <c r="G41" s="85" t="n"/>
      <c r="H41" s="85" t="n"/>
      <c r="I41" s="85" t="n"/>
      <c r="J41" s="85" t="n"/>
      <c r="K41" s="85" t="n"/>
      <c r="L41" s="85" t="n"/>
      <c r="M41" s="89" t="n"/>
      <c r="N41" s="89" t="n"/>
      <c r="O41" s="89" t="n"/>
      <c r="P41" s="89" t="n"/>
      <c r="Q41" s="81">
        <f>SUM(M41:P41)</f>
        <v/>
      </c>
      <c r="R41" s="85" t="b">
        <v>0</v>
      </c>
      <c r="S41" s="85" t="b">
        <v>0</v>
      </c>
      <c r="T41" s="85" t="b">
        <v>0</v>
      </c>
      <c r="U41" s="85" t="b">
        <v>0</v>
      </c>
      <c r="V41" s="91" t="n"/>
      <c r="W41" s="91" t="n"/>
      <c r="X41" s="91" t="n"/>
      <c r="Y41" s="92" t="n"/>
      <c r="Z41" s="92" t="n"/>
    </row>
    <row r="42" ht="18.75" customHeight="1" s="236">
      <c r="A42" s="65" t="n">
        <v>37</v>
      </c>
      <c r="B42" s="66" t="inlineStr">
        <is>
          <t>企業037</t>
        </is>
      </c>
      <c r="C42" s="69" t="n"/>
      <c r="D42" s="69" t="n"/>
      <c r="E42" s="69" t="inlineStr">
        <is>
          <t>1. 未着手</t>
        </is>
      </c>
      <c r="F42" s="69" t="n"/>
      <c r="G42" s="69" t="n"/>
      <c r="H42" s="69" t="n"/>
      <c r="I42" s="69" t="n"/>
      <c r="J42" s="69" t="n"/>
      <c r="K42" s="69" t="n"/>
      <c r="L42" s="69" t="n"/>
      <c r="M42" s="77" t="n"/>
      <c r="N42" s="77" t="n"/>
      <c r="O42" s="77" t="n"/>
      <c r="P42" s="77" t="n"/>
      <c r="Q42" s="81">
        <f>SUM(M42:P42)</f>
        <v/>
      </c>
      <c r="R42" s="69" t="b">
        <v>0</v>
      </c>
      <c r="S42" s="69" t="b">
        <v>0</v>
      </c>
      <c r="T42" s="69" t="b">
        <v>0</v>
      </c>
      <c r="U42" s="69" t="b">
        <v>0</v>
      </c>
      <c r="V42" s="83" t="n"/>
      <c r="W42" s="83" t="n"/>
      <c r="X42" s="83" t="n"/>
      <c r="Y42" s="84" t="n"/>
      <c r="Z42" s="84" t="n"/>
    </row>
    <row r="43" ht="18.75" customHeight="1" s="236">
      <c r="A43" s="65" t="n">
        <v>38</v>
      </c>
      <c r="B43" s="66" t="inlineStr">
        <is>
          <t>企業038</t>
        </is>
      </c>
      <c r="C43" s="85" t="n"/>
      <c r="D43" s="85" t="n"/>
      <c r="E43" s="85" t="inlineStr">
        <is>
          <t>1. 未着手</t>
        </is>
      </c>
      <c r="F43" s="85" t="n"/>
      <c r="G43" s="85" t="n"/>
      <c r="H43" s="85" t="n"/>
      <c r="I43" s="85" t="n"/>
      <c r="J43" s="85" t="n"/>
      <c r="K43" s="85" t="n"/>
      <c r="L43" s="85" t="n"/>
      <c r="M43" s="89" t="n"/>
      <c r="N43" s="89" t="n"/>
      <c r="O43" s="89" t="n"/>
      <c r="P43" s="89" t="n"/>
      <c r="Q43" s="81">
        <f>SUM(M43:P43)</f>
        <v/>
      </c>
      <c r="R43" s="85" t="b">
        <v>0</v>
      </c>
      <c r="S43" s="85" t="b">
        <v>0</v>
      </c>
      <c r="T43" s="85" t="b">
        <v>0</v>
      </c>
      <c r="U43" s="85" t="b">
        <v>0</v>
      </c>
      <c r="V43" s="91" t="n"/>
      <c r="W43" s="91" t="n"/>
      <c r="X43" s="91" t="n"/>
      <c r="Y43" s="92" t="n"/>
      <c r="Z43" s="92" t="n"/>
    </row>
    <row r="44" ht="18.75" customHeight="1" s="236">
      <c r="A44" s="65" t="n">
        <v>39</v>
      </c>
      <c r="B44" s="66" t="inlineStr">
        <is>
          <t>企業039</t>
        </is>
      </c>
      <c r="C44" s="69" t="n"/>
      <c r="D44" s="69" t="n"/>
      <c r="E44" s="69" t="inlineStr">
        <is>
          <t>1. 未着手</t>
        </is>
      </c>
      <c r="F44" s="69" t="n"/>
      <c r="G44" s="69" t="n"/>
      <c r="H44" s="69" t="n"/>
      <c r="I44" s="69" t="n"/>
      <c r="J44" s="69" t="n"/>
      <c r="K44" s="69" t="n"/>
      <c r="L44" s="69" t="n"/>
      <c r="M44" s="77" t="n"/>
      <c r="N44" s="77" t="n"/>
      <c r="O44" s="77" t="n"/>
      <c r="P44" s="77" t="n"/>
      <c r="Q44" s="81">
        <f>SUM(M44:P44)</f>
        <v/>
      </c>
      <c r="R44" s="69" t="b">
        <v>0</v>
      </c>
      <c r="S44" s="69" t="b">
        <v>0</v>
      </c>
      <c r="T44" s="69" t="b">
        <v>0</v>
      </c>
      <c r="U44" s="69" t="b">
        <v>0</v>
      </c>
      <c r="V44" s="83" t="n"/>
      <c r="W44" s="83" t="n"/>
      <c r="X44" s="83" t="n"/>
      <c r="Y44" s="84" t="n"/>
      <c r="Z44" s="84" t="n"/>
    </row>
    <row r="45" ht="18.75" customHeight="1" s="236">
      <c r="A45" s="65" t="n">
        <v>40</v>
      </c>
      <c r="B45" s="66" t="inlineStr">
        <is>
          <t>企業040</t>
        </is>
      </c>
      <c r="C45" s="85" t="n"/>
      <c r="D45" s="85" t="n"/>
      <c r="E45" s="85" t="inlineStr">
        <is>
          <t>1. 未着手</t>
        </is>
      </c>
      <c r="F45" s="85" t="n"/>
      <c r="G45" s="85" t="n"/>
      <c r="H45" s="85" t="n"/>
      <c r="I45" s="85" t="n"/>
      <c r="J45" s="85" t="n"/>
      <c r="K45" s="85" t="n"/>
      <c r="L45" s="85" t="n"/>
      <c r="M45" s="89" t="n"/>
      <c r="N45" s="89" t="n"/>
      <c r="O45" s="89" t="n"/>
      <c r="P45" s="89" t="n"/>
      <c r="Q45" s="81">
        <f>SUM(M45:P45)</f>
        <v/>
      </c>
      <c r="R45" s="85" t="b">
        <v>0</v>
      </c>
      <c r="S45" s="85" t="b">
        <v>0</v>
      </c>
      <c r="T45" s="85" t="b">
        <v>0</v>
      </c>
      <c r="U45" s="85" t="b">
        <v>0</v>
      </c>
      <c r="V45" s="91" t="n"/>
      <c r="W45" s="91" t="n"/>
      <c r="X45" s="91" t="n"/>
      <c r="Y45" s="92" t="n"/>
      <c r="Z45" s="92" t="n"/>
    </row>
    <row r="46" ht="18.75" customHeight="1" s="236">
      <c r="A46" s="65" t="n">
        <v>41</v>
      </c>
      <c r="B46" s="66" t="inlineStr">
        <is>
          <t>企業041</t>
        </is>
      </c>
      <c r="C46" s="69" t="n"/>
      <c r="D46" s="69" t="n"/>
      <c r="E46" s="69" t="inlineStr">
        <is>
          <t>1. 未着手</t>
        </is>
      </c>
      <c r="F46" s="69" t="n"/>
      <c r="G46" s="69" t="n"/>
      <c r="H46" s="69" t="n"/>
      <c r="I46" s="69" t="n"/>
      <c r="J46" s="69" t="n"/>
      <c r="K46" s="69" t="n"/>
      <c r="L46" s="69" t="n"/>
      <c r="M46" s="77" t="n"/>
      <c r="N46" s="77" t="n"/>
      <c r="O46" s="77" t="n"/>
      <c r="P46" s="77" t="n"/>
      <c r="Q46" s="81">
        <f>SUM(M46:P46)</f>
        <v/>
      </c>
      <c r="R46" s="69" t="b">
        <v>0</v>
      </c>
      <c r="S46" s="69" t="b">
        <v>0</v>
      </c>
      <c r="T46" s="69" t="b">
        <v>0</v>
      </c>
      <c r="U46" s="69" t="b">
        <v>0</v>
      </c>
      <c r="V46" s="83" t="n"/>
      <c r="W46" s="83" t="n"/>
      <c r="X46" s="83" t="n"/>
      <c r="Y46" s="84" t="n"/>
      <c r="Z46" s="84" t="n"/>
    </row>
    <row r="47" ht="18.75" customHeight="1" s="236">
      <c r="A47" s="65" t="n">
        <v>42</v>
      </c>
      <c r="B47" s="66" t="inlineStr">
        <is>
          <t>企業042</t>
        </is>
      </c>
      <c r="C47" s="85" t="n"/>
      <c r="D47" s="85" t="n"/>
      <c r="E47" s="85" t="inlineStr">
        <is>
          <t>1. 未着手</t>
        </is>
      </c>
      <c r="F47" s="85" t="n"/>
      <c r="G47" s="85" t="n"/>
      <c r="H47" s="85" t="n"/>
      <c r="I47" s="85" t="n"/>
      <c r="J47" s="85" t="n"/>
      <c r="K47" s="85" t="n"/>
      <c r="L47" s="85" t="n"/>
      <c r="M47" s="89" t="n"/>
      <c r="N47" s="89" t="n"/>
      <c r="O47" s="89" t="n"/>
      <c r="P47" s="89" t="n"/>
      <c r="Q47" s="81">
        <f>SUM(M47:P47)</f>
        <v/>
      </c>
      <c r="R47" s="85" t="b">
        <v>0</v>
      </c>
      <c r="S47" s="85" t="b">
        <v>0</v>
      </c>
      <c r="T47" s="85" t="b">
        <v>0</v>
      </c>
      <c r="U47" s="85" t="b">
        <v>0</v>
      </c>
      <c r="V47" s="91" t="n"/>
      <c r="W47" s="91" t="n"/>
      <c r="X47" s="91" t="n"/>
      <c r="Y47" s="92" t="n"/>
      <c r="Z47" s="92" t="n"/>
    </row>
    <row r="48" ht="18.75" customHeight="1" s="236">
      <c r="A48" s="65" t="n">
        <v>43</v>
      </c>
      <c r="B48" s="66" t="inlineStr">
        <is>
          <t>企業043</t>
        </is>
      </c>
      <c r="C48" s="69" t="n"/>
      <c r="D48" s="69" t="n"/>
      <c r="E48" s="69" t="inlineStr">
        <is>
          <t>1. 未着手</t>
        </is>
      </c>
      <c r="F48" s="69" t="n"/>
      <c r="G48" s="69" t="n"/>
      <c r="H48" s="69" t="n"/>
      <c r="I48" s="69" t="n"/>
      <c r="J48" s="69" t="n"/>
      <c r="K48" s="69" t="n"/>
      <c r="L48" s="69" t="n"/>
      <c r="M48" s="77" t="n"/>
      <c r="N48" s="77" t="n"/>
      <c r="O48" s="77" t="n"/>
      <c r="P48" s="77" t="n"/>
      <c r="Q48" s="81">
        <f>SUM(M48:P48)</f>
        <v/>
      </c>
      <c r="R48" s="69" t="b">
        <v>0</v>
      </c>
      <c r="S48" s="69" t="b">
        <v>0</v>
      </c>
      <c r="T48" s="69" t="b">
        <v>0</v>
      </c>
      <c r="U48" s="69" t="b">
        <v>0</v>
      </c>
      <c r="V48" s="83" t="n"/>
      <c r="W48" s="83" t="n"/>
      <c r="X48" s="83" t="n"/>
      <c r="Y48" s="84" t="n"/>
      <c r="Z48" s="84" t="n"/>
    </row>
    <row r="49" ht="18.75" customHeight="1" s="236">
      <c r="A49" s="65" t="n">
        <v>44</v>
      </c>
      <c r="B49" s="66" t="inlineStr">
        <is>
          <t>企業044</t>
        </is>
      </c>
      <c r="C49" s="85" t="n"/>
      <c r="D49" s="85" t="n"/>
      <c r="E49" s="85" t="inlineStr">
        <is>
          <t>1. 未着手</t>
        </is>
      </c>
      <c r="F49" s="85" t="n"/>
      <c r="G49" s="85" t="n"/>
      <c r="H49" s="85" t="n"/>
      <c r="I49" s="85" t="n"/>
      <c r="J49" s="85" t="n"/>
      <c r="K49" s="85" t="n"/>
      <c r="L49" s="85" t="n"/>
      <c r="M49" s="89" t="n"/>
      <c r="N49" s="89" t="n"/>
      <c r="O49" s="89" t="n"/>
      <c r="P49" s="89" t="n"/>
      <c r="Q49" s="81">
        <f>SUM(M49:P49)</f>
        <v/>
      </c>
      <c r="R49" s="85" t="b">
        <v>0</v>
      </c>
      <c r="S49" s="85" t="b">
        <v>0</v>
      </c>
      <c r="T49" s="85" t="b">
        <v>0</v>
      </c>
      <c r="U49" s="85" t="b">
        <v>0</v>
      </c>
      <c r="V49" s="91" t="n"/>
      <c r="W49" s="91" t="n"/>
      <c r="X49" s="91" t="n"/>
      <c r="Y49" s="92" t="n"/>
      <c r="Z49" s="92" t="n"/>
    </row>
    <row r="50" ht="18.75" customHeight="1" s="236">
      <c r="A50" s="65" t="n">
        <v>45</v>
      </c>
      <c r="B50" s="66" t="inlineStr">
        <is>
          <t>企業045</t>
        </is>
      </c>
      <c r="C50" s="69" t="n"/>
      <c r="D50" s="69" t="n"/>
      <c r="E50" s="69" t="inlineStr">
        <is>
          <t>1. 未着手</t>
        </is>
      </c>
      <c r="F50" s="69" t="n"/>
      <c r="G50" s="69" t="n"/>
      <c r="H50" s="69" t="n"/>
      <c r="I50" s="69" t="n"/>
      <c r="J50" s="69" t="n"/>
      <c r="K50" s="69" t="n"/>
      <c r="L50" s="69" t="n"/>
      <c r="M50" s="77" t="n"/>
      <c r="N50" s="77" t="n"/>
      <c r="O50" s="77" t="n"/>
      <c r="P50" s="77" t="n"/>
      <c r="Q50" s="81">
        <f>SUM(M50:P50)</f>
        <v/>
      </c>
      <c r="R50" s="69" t="b">
        <v>0</v>
      </c>
      <c r="S50" s="69" t="b">
        <v>0</v>
      </c>
      <c r="T50" s="69" t="b">
        <v>0</v>
      </c>
      <c r="U50" s="69" t="b">
        <v>0</v>
      </c>
      <c r="V50" s="83" t="n"/>
      <c r="W50" s="83" t="n"/>
      <c r="X50" s="83" t="n"/>
      <c r="Y50" s="84" t="n"/>
      <c r="Z50" s="84" t="n"/>
    </row>
    <row r="51" ht="18.75" customHeight="1" s="236">
      <c r="A51" s="65" t="n">
        <v>46</v>
      </c>
      <c r="B51" s="66" t="inlineStr">
        <is>
          <t>企業046</t>
        </is>
      </c>
      <c r="C51" s="85" t="n"/>
      <c r="D51" s="85" t="n"/>
      <c r="E51" s="85" t="inlineStr">
        <is>
          <t>1. 未着手</t>
        </is>
      </c>
      <c r="F51" s="85" t="n"/>
      <c r="G51" s="85" t="n"/>
      <c r="H51" s="85" t="n"/>
      <c r="I51" s="85" t="n"/>
      <c r="J51" s="85" t="n"/>
      <c r="K51" s="85" t="n"/>
      <c r="L51" s="85" t="n"/>
      <c r="M51" s="89" t="n"/>
      <c r="N51" s="89" t="n"/>
      <c r="O51" s="89" t="n"/>
      <c r="P51" s="89" t="n"/>
      <c r="Q51" s="81">
        <f>SUM(M51:P51)</f>
        <v/>
      </c>
      <c r="R51" s="85" t="b">
        <v>0</v>
      </c>
      <c r="S51" s="85" t="b">
        <v>0</v>
      </c>
      <c r="T51" s="85" t="b">
        <v>0</v>
      </c>
      <c r="U51" s="85" t="b">
        <v>0</v>
      </c>
      <c r="V51" s="91" t="n"/>
      <c r="W51" s="91" t="n"/>
      <c r="X51" s="91" t="n"/>
      <c r="Y51" s="92" t="n"/>
      <c r="Z51" s="92" t="n"/>
    </row>
    <row r="52" ht="18.75" customHeight="1" s="236">
      <c r="A52" s="65" t="n">
        <v>47</v>
      </c>
      <c r="B52" s="66" t="inlineStr">
        <is>
          <t>企業047</t>
        </is>
      </c>
      <c r="C52" s="69" t="n"/>
      <c r="D52" s="69" t="n"/>
      <c r="E52" s="69" t="inlineStr">
        <is>
          <t>1. 未着手</t>
        </is>
      </c>
      <c r="F52" s="69" t="n"/>
      <c r="G52" s="69" t="n"/>
      <c r="H52" s="69" t="n"/>
      <c r="I52" s="69" t="n"/>
      <c r="J52" s="69" t="n"/>
      <c r="K52" s="69" t="n"/>
      <c r="L52" s="69" t="n"/>
      <c r="M52" s="77" t="n"/>
      <c r="N52" s="77" t="n"/>
      <c r="O52" s="77" t="n"/>
      <c r="P52" s="77" t="n"/>
      <c r="Q52" s="81">
        <f>SUM(M52:P52)</f>
        <v/>
      </c>
      <c r="R52" s="69" t="b">
        <v>0</v>
      </c>
      <c r="S52" s="69" t="b">
        <v>0</v>
      </c>
      <c r="T52" s="69" t="b">
        <v>0</v>
      </c>
      <c r="U52" s="69" t="b">
        <v>0</v>
      </c>
      <c r="V52" s="83" t="n"/>
      <c r="W52" s="83" t="n"/>
      <c r="X52" s="83" t="n"/>
      <c r="Y52" s="84" t="n"/>
      <c r="Z52" s="84" t="n"/>
    </row>
    <row r="53" ht="18.75" customHeight="1" s="236">
      <c r="A53" s="65" t="n">
        <v>48</v>
      </c>
      <c r="B53" s="66" t="inlineStr">
        <is>
          <t>企業048</t>
        </is>
      </c>
      <c r="C53" s="85" t="n"/>
      <c r="D53" s="85" t="n"/>
      <c r="E53" s="85" t="inlineStr">
        <is>
          <t>1. 未着手</t>
        </is>
      </c>
      <c r="F53" s="85" t="n"/>
      <c r="G53" s="85" t="n"/>
      <c r="H53" s="85" t="n"/>
      <c r="I53" s="85" t="n"/>
      <c r="J53" s="85" t="n"/>
      <c r="K53" s="85" t="n"/>
      <c r="L53" s="85" t="n"/>
      <c r="M53" s="89" t="n"/>
      <c r="N53" s="89" t="n"/>
      <c r="O53" s="89" t="n"/>
      <c r="P53" s="89" t="n"/>
      <c r="Q53" s="81">
        <f>SUM(M53:P53)</f>
        <v/>
      </c>
      <c r="R53" s="85" t="b">
        <v>0</v>
      </c>
      <c r="S53" s="85" t="b">
        <v>0</v>
      </c>
      <c r="T53" s="85" t="b">
        <v>0</v>
      </c>
      <c r="U53" s="85" t="b">
        <v>0</v>
      </c>
      <c r="V53" s="91" t="n"/>
      <c r="W53" s="91" t="n"/>
      <c r="X53" s="91" t="n"/>
      <c r="Y53" s="92" t="n"/>
      <c r="Z53" s="92" t="n"/>
    </row>
    <row r="54" ht="18.75" customHeight="1" s="236">
      <c r="A54" s="65" t="n">
        <v>49</v>
      </c>
      <c r="B54" s="66" t="inlineStr">
        <is>
          <t>企業049</t>
        </is>
      </c>
      <c r="C54" s="69" t="n"/>
      <c r="D54" s="69" t="n"/>
      <c r="E54" s="69" t="inlineStr">
        <is>
          <t>1. 未着手</t>
        </is>
      </c>
      <c r="F54" s="69" t="n"/>
      <c r="G54" s="69" t="n"/>
      <c r="H54" s="69" t="n"/>
      <c r="I54" s="69" t="n"/>
      <c r="J54" s="69" t="n"/>
      <c r="K54" s="69" t="n"/>
      <c r="L54" s="69" t="n"/>
      <c r="M54" s="77" t="n"/>
      <c r="N54" s="77" t="n"/>
      <c r="O54" s="77" t="n"/>
      <c r="P54" s="77" t="n"/>
      <c r="Q54" s="81">
        <f>SUM(M54:P54)</f>
        <v/>
      </c>
      <c r="R54" s="69" t="b">
        <v>0</v>
      </c>
      <c r="S54" s="69" t="b">
        <v>0</v>
      </c>
      <c r="T54" s="69" t="b">
        <v>0</v>
      </c>
      <c r="U54" s="69" t="b">
        <v>0</v>
      </c>
      <c r="V54" s="83" t="n"/>
      <c r="W54" s="83" t="n"/>
      <c r="X54" s="83" t="n"/>
      <c r="Y54" s="84" t="n"/>
      <c r="Z54" s="84" t="n"/>
    </row>
    <row r="55" ht="18.75" customHeight="1" s="236">
      <c r="A55" s="65" t="n">
        <v>50</v>
      </c>
      <c r="B55" s="66" t="inlineStr">
        <is>
          <t>企業050</t>
        </is>
      </c>
      <c r="C55" s="85" t="n"/>
      <c r="D55" s="85" t="n"/>
      <c r="E55" s="85" t="inlineStr">
        <is>
          <t>1. 未着手</t>
        </is>
      </c>
      <c r="F55" s="85" t="n"/>
      <c r="G55" s="85" t="n"/>
      <c r="H55" s="85" t="n"/>
      <c r="I55" s="85" t="n"/>
      <c r="J55" s="85" t="n"/>
      <c r="K55" s="85" t="n"/>
      <c r="L55" s="85" t="n"/>
      <c r="M55" s="89" t="n"/>
      <c r="N55" s="89" t="n"/>
      <c r="O55" s="89" t="n"/>
      <c r="P55" s="89" t="n"/>
      <c r="Q55" s="81">
        <f>SUM(M55:P55)</f>
        <v/>
      </c>
      <c r="R55" s="85" t="b">
        <v>0</v>
      </c>
      <c r="S55" s="85" t="b">
        <v>0</v>
      </c>
      <c r="T55" s="85" t="b">
        <v>0</v>
      </c>
      <c r="U55" s="85" t="b">
        <v>0</v>
      </c>
      <c r="V55" s="91" t="n"/>
      <c r="W55" s="91" t="n"/>
      <c r="X55" s="91" t="n"/>
      <c r="Y55" s="92" t="n"/>
      <c r="Z55" s="92" t="n"/>
    </row>
    <row r="56" ht="18.75" customHeight="1" s="236">
      <c r="A56" s="65" t="n">
        <v>51</v>
      </c>
      <c r="B56" s="66" t="inlineStr">
        <is>
          <t>企業051</t>
        </is>
      </c>
      <c r="C56" s="69" t="n"/>
      <c r="D56" s="69" t="n"/>
      <c r="E56" s="69" t="inlineStr">
        <is>
          <t>1. 未着手</t>
        </is>
      </c>
      <c r="F56" s="69" t="n"/>
      <c r="G56" s="69" t="n"/>
      <c r="H56" s="69" t="n"/>
      <c r="I56" s="69" t="n"/>
      <c r="J56" s="69" t="n"/>
      <c r="K56" s="69" t="n"/>
      <c r="L56" s="69" t="n"/>
      <c r="M56" s="77" t="n"/>
      <c r="N56" s="77" t="n"/>
      <c r="O56" s="77" t="n"/>
      <c r="P56" s="77" t="n"/>
      <c r="Q56" s="81">
        <f>SUM(M56:P56)</f>
        <v/>
      </c>
      <c r="R56" s="69" t="b">
        <v>0</v>
      </c>
      <c r="S56" s="69" t="b">
        <v>0</v>
      </c>
      <c r="T56" s="69" t="b">
        <v>0</v>
      </c>
      <c r="U56" s="69" t="b">
        <v>0</v>
      </c>
      <c r="V56" s="83" t="n"/>
      <c r="W56" s="83" t="n"/>
      <c r="X56" s="83" t="n"/>
      <c r="Y56" s="84" t="n"/>
      <c r="Z56" s="84" t="n"/>
    </row>
    <row r="57" ht="18.75" customHeight="1" s="236">
      <c r="A57" s="65" t="n">
        <v>52</v>
      </c>
      <c r="B57" s="66" t="inlineStr">
        <is>
          <t>企業052</t>
        </is>
      </c>
      <c r="C57" s="85" t="n"/>
      <c r="D57" s="85" t="n"/>
      <c r="E57" s="85" t="inlineStr">
        <is>
          <t>1. 未着手</t>
        </is>
      </c>
      <c r="F57" s="85" t="n"/>
      <c r="G57" s="85" t="n"/>
      <c r="H57" s="85" t="n"/>
      <c r="I57" s="85" t="n"/>
      <c r="J57" s="85" t="n"/>
      <c r="K57" s="85" t="n"/>
      <c r="L57" s="85" t="n"/>
      <c r="M57" s="89" t="n"/>
      <c r="N57" s="89" t="n"/>
      <c r="O57" s="89" t="n"/>
      <c r="P57" s="89" t="n"/>
      <c r="Q57" s="81">
        <f>SUM(M57:P57)</f>
        <v/>
      </c>
      <c r="R57" s="85" t="b">
        <v>0</v>
      </c>
      <c r="S57" s="85" t="b">
        <v>0</v>
      </c>
      <c r="T57" s="85" t="b">
        <v>0</v>
      </c>
      <c r="U57" s="85" t="b">
        <v>0</v>
      </c>
      <c r="V57" s="91" t="n"/>
      <c r="W57" s="91" t="n"/>
      <c r="X57" s="91" t="n"/>
      <c r="Y57" s="92" t="n"/>
      <c r="Z57" s="92" t="n"/>
    </row>
    <row r="58" ht="18.75" customHeight="1" s="236">
      <c r="A58" s="65" t="n">
        <v>53</v>
      </c>
      <c r="B58" s="66" t="inlineStr">
        <is>
          <t>企業053</t>
        </is>
      </c>
      <c r="C58" s="69" t="n"/>
      <c r="D58" s="69" t="n"/>
      <c r="E58" s="69" t="inlineStr">
        <is>
          <t>1. 未着手</t>
        </is>
      </c>
      <c r="F58" s="69" t="n"/>
      <c r="G58" s="69" t="n"/>
      <c r="H58" s="69" t="n"/>
      <c r="I58" s="69" t="n"/>
      <c r="J58" s="69" t="n"/>
      <c r="K58" s="69" t="n"/>
      <c r="L58" s="69" t="n"/>
      <c r="M58" s="77" t="n"/>
      <c r="N58" s="77" t="n"/>
      <c r="O58" s="77" t="n"/>
      <c r="P58" s="77" t="n"/>
      <c r="Q58" s="81">
        <f>SUM(M58:P58)</f>
        <v/>
      </c>
      <c r="R58" s="69" t="b">
        <v>0</v>
      </c>
      <c r="S58" s="69" t="b">
        <v>0</v>
      </c>
      <c r="T58" s="69" t="b">
        <v>0</v>
      </c>
      <c r="U58" s="69" t="b">
        <v>0</v>
      </c>
      <c r="V58" s="83" t="n"/>
      <c r="W58" s="83" t="n"/>
      <c r="X58" s="83" t="n"/>
      <c r="Y58" s="84" t="n"/>
      <c r="Z58" s="84" t="n"/>
    </row>
    <row r="59" ht="18.75" customHeight="1" s="236">
      <c r="A59" s="65" t="n">
        <v>54</v>
      </c>
      <c r="B59" s="66" t="inlineStr">
        <is>
          <t>企業054</t>
        </is>
      </c>
      <c r="C59" s="85" t="n"/>
      <c r="D59" s="85" t="n"/>
      <c r="E59" s="85" t="inlineStr">
        <is>
          <t>1. 未着手</t>
        </is>
      </c>
      <c r="F59" s="85" t="n"/>
      <c r="G59" s="85" t="n"/>
      <c r="H59" s="85" t="n"/>
      <c r="I59" s="85" t="n"/>
      <c r="J59" s="85" t="n"/>
      <c r="K59" s="85" t="n"/>
      <c r="L59" s="85" t="n"/>
      <c r="M59" s="89" t="n"/>
      <c r="N59" s="89" t="n"/>
      <c r="O59" s="89" t="n"/>
      <c r="P59" s="89" t="n"/>
      <c r="Q59" s="81">
        <f>SUM(M59:P59)</f>
        <v/>
      </c>
      <c r="R59" s="85" t="b">
        <v>0</v>
      </c>
      <c r="S59" s="85" t="b">
        <v>0</v>
      </c>
      <c r="T59" s="85" t="b">
        <v>0</v>
      </c>
      <c r="U59" s="85" t="b">
        <v>0</v>
      </c>
      <c r="V59" s="91" t="n"/>
      <c r="W59" s="91" t="n"/>
      <c r="X59" s="91" t="n"/>
      <c r="Y59" s="92" t="n"/>
      <c r="Z59" s="92" t="n"/>
    </row>
    <row r="60" ht="18.75" customHeight="1" s="236">
      <c r="A60" s="65" t="n">
        <v>55</v>
      </c>
      <c r="B60" s="66" t="inlineStr">
        <is>
          <t>企業055</t>
        </is>
      </c>
      <c r="C60" s="69" t="n"/>
      <c r="D60" s="69" t="n"/>
      <c r="E60" s="69" t="inlineStr">
        <is>
          <t>1. 未着手</t>
        </is>
      </c>
      <c r="F60" s="69" t="n"/>
      <c r="G60" s="69" t="n"/>
      <c r="H60" s="69" t="n"/>
      <c r="I60" s="69" t="n"/>
      <c r="J60" s="69" t="n"/>
      <c r="K60" s="69" t="n"/>
      <c r="L60" s="69" t="n"/>
      <c r="M60" s="77" t="n"/>
      <c r="N60" s="77" t="n"/>
      <c r="O60" s="77" t="n"/>
      <c r="P60" s="77" t="n"/>
      <c r="Q60" s="81">
        <f>SUM(M60:P60)</f>
        <v/>
      </c>
      <c r="R60" s="69" t="b">
        <v>0</v>
      </c>
      <c r="S60" s="69" t="b">
        <v>0</v>
      </c>
      <c r="T60" s="69" t="b">
        <v>0</v>
      </c>
      <c r="U60" s="69" t="b">
        <v>0</v>
      </c>
      <c r="V60" s="83" t="n"/>
      <c r="W60" s="83" t="n"/>
      <c r="X60" s="83" t="n"/>
      <c r="Y60" s="84" t="n"/>
      <c r="Z60" s="84" t="n"/>
    </row>
    <row r="61" ht="18.75" customHeight="1" s="236">
      <c r="A61" s="65" t="n">
        <v>56</v>
      </c>
      <c r="B61" s="66" t="inlineStr">
        <is>
          <t>企業056</t>
        </is>
      </c>
      <c r="C61" s="85" t="n"/>
      <c r="D61" s="85" t="n"/>
      <c r="E61" s="85" t="inlineStr">
        <is>
          <t>1. 未着手</t>
        </is>
      </c>
      <c r="F61" s="85" t="n"/>
      <c r="G61" s="85" t="n"/>
      <c r="H61" s="85" t="n"/>
      <c r="I61" s="85" t="n"/>
      <c r="J61" s="85" t="n"/>
      <c r="K61" s="85" t="n"/>
      <c r="L61" s="85" t="n"/>
      <c r="M61" s="89" t="n"/>
      <c r="N61" s="89" t="n"/>
      <c r="O61" s="89" t="n"/>
      <c r="P61" s="89" t="n"/>
      <c r="Q61" s="81">
        <f>SUM(M61:P61)</f>
        <v/>
      </c>
      <c r="R61" s="85" t="b">
        <v>0</v>
      </c>
      <c r="S61" s="85" t="b">
        <v>0</v>
      </c>
      <c r="T61" s="85" t="b">
        <v>0</v>
      </c>
      <c r="U61" s="85" t="b">
        <v>0</v>
      </c>
      <c r="V61" s="91" t="n"/>
      <c r="W61" s="91" t="n"/>
      <c r="X61" s="91" t="n"/>
      <c r="Y61" s="92" t="n"/>
      <c r="Z61" s="92" t="n"/>
    </row>
    <row r="62" ht="18.75" customHeight="1" s="236">
      <c r="A62" s="65" t="n">
        <v>57</v>
      </c>
      <c r="B62" s="66" t="inlineStr">
        <is>
          <t>企業057</t>
        </is>
      </c>
      <c r="C62" s="69" t="n"/>
      <c r="D62" s="69" t="n"/>
      <c r="E62" s="69" t="inlineStr">
        <is>
          <t>1. 未着手</t>
        </is>
      </c>
      <c r="F62" s="69" t="n"/>
      <c r="G62" s="69" t="n"/>
      <c r="H62" s="69" t="n"/>
      <c r="I62" s="69" t="n"/>
      <c r="J62" s="69" t="n"/>
      <c r="K62" s="69" t="n"/>
      <c r="L62" s="69" t="n"/>
      <c r="M62" s="77" t="n"/>
      <c r="N62" s="77" t="n"/>
      <c r="O62" s="77" t="n"/>
      <c r="P62" s="77" t="n"/>
      <c r="Q62" s="81">
        <f>SUM(M62:P62)</f>
        <v/>
      </c>
      <c r="R62" s="69" t="b">
        <v>0</v>
      </c>
      <c r="S62" s="69" t="b">
        <v>0</v>
      </c>
      <c r="T62" s="69" t="b">
        <v>0</v>
      </c>
      <c r="U62" s="69" t="b">
        <v>0</v>
      </c>
      <c r="V62" s="83" t="n"/>
      <c r="W62" s="83" t="n"/>
      <c r="X62" s="83" t="n"/>
      <c r="Y62" s="84" t="n"/>
      <c r="Z62" s="84" t="n"/>
    </row>
    <row r="63" ht="18.75" customHeight="1" s="236">
      <c r="A63" s="65" t="n">
        <v>58</v>
      </c>
      <c r="B63" s="66" t="inlineStr">
        <is>
          <t>企業058</t>
        </is>
      </c>
      <c r="C63" s="85" t="n"/>
      <c r="D63" s="85" t="n"/>
      <c r="E63" s="85" t="inlineStr">
        <is>
          <t>1. 未着手</t>
        </is>
      </c>
      <c r="F63" s="85" t="n"/>
      <c r="G63" s="85" t="n"/>
      <c r="H63" s="85" t="n"/>
      <c r="I63" s="85" t="n"/>
      <c r="J63" s="85" t="n"/>
      <c r="K63" s="85" t="n"/>
      <c r="L63" s="85" t="n"/>
      <c r="M63" s="89" t="n"/>
      <c r="N63" s="89" t="n"/>
      <c r="O63" s="89" t="n"/>
      <c r="P63" s="89" t="n"/>
      <c r="Q63" s="81">
        <f>SUM(M63:P63)</f>
        <v/>
      </c>
      <c r="R63" s="85" t="b">
        <v>0</v>
      </c>
      <c r="S63" s="85" t="b">
        <v>0</v>
      </c>
      <c r="T63" s="85" t="b">
        <v>0</v>
      </c>
      <c r="U63" s="85" t="b">
        <v>0</v>
      </c>
      <c r="V63" s="91" t="n"/>
      <c r="W63" s="91" t="n"/>
      <c r="X63" s="91" t="n"/>
      <c r="Y63" s="92" t="n"/>
      <c r="Z63" s="92" t="n"/>
    </row>
    <row r="64" ht="18.75" customHeight="1" s="236">
      <c r="A64" s="65" t="n">
        <v>59</v>
      </c>
      <c r="B64" s="66" t="inlineStr">
        <is>
          <t>企業059</t>
        </is>
      </c>
      <c r="C64" s="69" t="n"/>
      <c r="D64" s="69" t="n"/>
      <c r="E64" s="69" t="inlineStr">
        <is>
          <t>1. 未着手</t>
        </is>
      </c>
      <c r="F64" s="69" t="n"/>
      <c r="G64" s="69" t="n"/>
      <c r="H64" s="69" t="n"/>
      <c r="I64" s="69" t="n"/>
      <c r="J64" s="69" t="n"/>
      <c r="K64" s="69" t="n"/>
      <c r="L64" s="69" t="n"/>
      <c r="M64" s="77" t="n"/>
      <c r="N64" s="77" t="n"/>
      <c r="O64" s="77" t="n"/>
      <c r="P64" s="77" t="n"/>
      <c r="Q64" s="81">
        <f>SUM(M64:P64)</f>
        <v/>
      </c>
      <c r="R64" s="69" t="b">
        <v>0</v>
      </c>
      <c r="S64" s="69" t="b">
        <v>0</v>
      </c>
      <c r="T64" s="69" t="b">
        <v>0</v>
      </c>
      <c r="U64" s="69" t="b">
        <v>0</v>
      </c>
      <c r="V64" s="83" t="n"/>
      <c r="W64" s="83" t="n"/>
      <c r="X64" s="83" t="n"/>
      <c r="Y64" s="84" t="n"/>
      <c r="Z64" s="84" t="n"/>
    </row>
    <row r="65" ht="18.75" customHeight="1" s="236">
      <c r="A65" s="65" t="n">
        <v>60</v>
      </c>
      <c r="B65" s="66" t="inlineStr">
        <is>
          <t>企業060</t>
        </is>
      </c>
      <c r="C65" s="85" t="n"/>
      <c r="D65" s="85" t="n"/>
      <c r="E65" s="85" t="inlineStr">
        <is>
          <t>1. 未着手</t>
        </is>
      </c>
      <c r="F65" s="85" t="n"/>
      <c r="G65" s="85" t="n"/>
      <c r="H65" s="85" t="n"/>
      <c r="I65" s="85" t="n"/>
      <c r="J65" s="85" t="n"/>
      <c r="K65" s="85" t="n"/>
      <c r="L65" s="85" t="n"/>
      <c r="M65" s="89" t="n"/>
      <c r="N65" s="89" t="n"/>
      <c r="O65" s="89" t="n"/>
      <c r="P65" s="89" t="n"/>
      <c r="Q65" s="81">
        <f>SUM(M65:P65)</f>
        <v/>
      </c>
      <c r="R65" s="85" t="b">
        <v>0</v>
      </c>
      <c r="S65" s="85" t="b">
        <v>0</v>
      </c>
      <c r="T65" s="85" t="b">
        <v>0</v>
      </c>
      <c r="U65" s="85" t="b">
        <v>0</v>
      </c>
      <c r="V65" s="91" t="n"/>
      <c r="W65" s="91" t="n"/>
      <c r="X65" s="91" t="n"/>
      <c r="Y65" s="92" t="n"/>
      <c r="Z65" s="92" t="n"/>
    </row>
    <row r="66" ht="18.75" customHeight="1" s="236">
      <c r="A66" s="65" t="n">
        <v>61</v>
      </c>
      <c r="B66" s="66" t="inlineStr">
        <is>
          <t>企業061</t>
        </is>
      </c>
      <c r="C66" s="69" t="n"/>
      <c r="D66" s="69" t="n"/>
      <c r="E66" s="69" t="inlineStr">
        <is>
          <t>1. 未着手</t>
        </is>
      </c>
      <c r="F66" s="69" t="n"/>
      <c r="G66" s="69" t="n"/>
      <c r="H66" s="69" t="n"/>
      <c r="I66" s="69" t="n"/>
      <c r="J66" s="69" t="n"/>
      <c r="K66" s="69" t="n"/>
      <c r="L66" s="69" t="n"/>
      <c r="M66" s="77" t="n"/>
      <c r="N66" s="77" t="n"/>
      <c r="O66" s="77" t="n"/>
      <c r="P66" s="77" t="n"/>
      <c r="Q66" s="81">
        <f>SUM(M66:P66)</f>
        <v/>
      </c>
      <c r="R66" s="69" t="b">
        <v>0</v>
      </c>
      <c r="S66" s="69" t="b">
        <v>0</v>
      </c>
      <c r="T66" s="69" t="b">
        <v>0</v>
      </c>
      <c r="U66" s="69" t="b">
        <v>0</v>
      </c>
      <c r="V66" s="83" t="n"/>
      <c r="W66" s="83" t="n"/>
      <c r="X66" s="83" t="n"/>
      <c r="Y66" s="84" t="n"/>
      <c r="Z66" s="84" t="n"/>
    </row>
    <row r="67" ht="18.75" customHeight="1" s="236">
      <c r="A67" s="65" t="n">
        <v>62</v>
      </c>
      <c r="B67" s="66" t="inlineStr">
        <is>
          <t>企業062</t>
        </is>
      </c>
      <c r="C67" s="85" t="n"/>
      <c r="D67" s="85" t="n"/>
      <c r="E67" s="85" t="inlineStr">
        <is>
          <t>1. 未着手</t>
        </is>
      </c>
      <c r="F67" s="85" t="n"/>
      <c r="G67" s="85" t="n"/>
      <c r="H67" s="85" t="n"/>
      <c r="I67" s="85" t="n"/>
      <c r="J67" s="85" t="n"/>
      <c r="K67" s="85" t="n"/>
      <c r="L67" s="85" t="n"/>
      <c r="M67" s="89" t="n"/>
      <c r="N67" s="89" t="n"/>
      <c r="O67" s="89" t="n"/>
      <c r="P67" s="89" t="n"/>
      <c r="Q67" s="81">
        <f>SUM(M67:P67)</f>
        <v/>
      </c>
      <c r="R67" s="85" t="b">
        <v>0</v>
      </c>
      <c r="S67" s="85" t="b">
        <v>0</v>
      </c>
      <c r="T67" s="85" t="b">
        <v>0</v>
      </c>
      <c r="U67" s="85" t="b">
        <v>0</v>
      </c>
      <c r="V67" s="91" t="n"/>
      <c r="W67" s="91" t="n"/>
      <c r="X67" s="91" t="n"/>
      <c r="Y67" s="92" t="n"/>
      <c r="Z67" s="92" t="n"/>
    </row>
    <row r="68" ht="18.75" customHeight="1" s="236">
      <c r="A68" s="65" t="n">
        <v>63</v>
      </c>
      <c r="B68" s="66" t="inlineStr">
        <is>
          <t>企業063</t>
        </is>
      </c>
      <c r="C68" s="69" t="n"/>
      <c r="D68" s="69" t="n"/>
      <c r="E68" s="69" t="inlineStr">
        <is>
          <t>1. 未着手</t>
        </is>
      </c>
      <c r="F68" s="69" t="n"/>
      <c r="G68" s="69" t="n"/>
      <c r="H68" s="69" t="n"/>
      <c r="I68" s="69" t="n"/>
      <c r="J68" s="69" t="n"/>
      <c r="K68" s="69" t="n"/>
      <c r="L68" s="69" t="n"/>
      <c r="M68" s="77" t="n"/>
      <c r="N68" s="77" t="n"/>
      <c r="O68" s="77" t="n"/>
      <c r="P68" s="77" t="n"/>
      <c r="Q68" s="81">
        <f>SUM(M68:P68)</f>
        <v/>
      </c>
      <c r="R68" s="69" t="b">
        <v>0</v>
      </c>
      <c r="S68" s="69" t="b">
        <v>0</v>
      </c>
      <c r="T68" s="69" t="b">
        <v>0</v>
      </c>
      <c r="U68" s="69" t="b">
        <v>0</v>
      </c>
      <c r="V68" s="83" t="n"/>
      <c r="W68" s="83" t="n"/>
      <c r="X68" s="83" t="n"/>
      <c r="Y68" s="84" t="n"/>
      <c r="Z68" s="84" t="n"/>
    </row>
    <row r="69" ht="18.75" customHeight="1" s="236">
      <c r="A69" s="65" t="n">
        <v>64</v>
      </c>
      <c r="B69" s="66" t="inlineStr">
        <is>
          <t>企業064</t>
        </is>
      </c>
      <c r="C69" s="85" t="n"/>
      <c r="D69" s="85" t="n"/>
      <c r="E69" s="85" t="inlineStr">
        <is>
          <t>1. 未着手</t>
        </is>
      </c>
      <c r="F69" s="85" t="n"/>
      <c r="G69" s="85" t="n"/>
      <c r="H69" s="85" t="n"/>
      <c r="I69" s="85" t="n"/>
      <c r="J69" s="85" t="n"/>
      <c r="K69" s="85" t="n"/>
      <c r="L69" s="85" t="n"/>
      <c r="M69" s="89" t="n"/>
      <c r="N69" s="89" t="n"/>
      <c r="O69" s="89" t="n"/>
      <c r="P69" s="89" t="n"/>
      <c r="Q69" s="81">
        <f>SUM(M69:P69)</f>
        <v/>
      </c>
      <c r="R69" s="85" t="b">
        <v>0</v>
      </c>
      <c r="S69" s="85" t="b">
        <v>0</v>
      </c>
      <c r="T69" s="85" t="b">
        <v>0</v>
      </c>
      <c r="U69" s="85" t="b">
        <v>0</v>
      </c>
      <c r="V69" s="91" t="n"/>
      <c r="W69" s="91" t="n"/>
      <c r="X69" s="91" t="n"/>
      <c r="Y69" s="92" t="n"/>
      <c r="Z69" s="92" t="n"/>
    </row>
    <row r="70" ht="18.75" customHeight="1" s="236">
      <c r="A70" s="65" t="n">
        <v>65</v>
      </c>
      <c r="B70" s="66" t="inlineStr">
        <is>
          <t>企業065</t>
        </is>
      </c>
      <c r="C70" s="69" t="n"/>
      <c r="D70" s="69" t="n"/>
      <c r="E70" s="69" t="inlineStr">
        <is>
          <t>1. 未着手</t>
        </is>
      </c>
      <c r="F70" s="69" t="n"/>
      <c r="G70" s="69" t="n"/>
      <c r="H70" s="69" t="n"/>
      <c r="I70" s="69" t="n"/>
      <c r="J70" s="69" t="n"/>
      <c r="K70" s="69" t="n"/>
      <c r="L70" s="69" t="n"/>
      <c r="M70" s="77" t="n"/>
      <c r="N70" s="77" t="n"/>
      <c r="O70" s="77" t="n"/>
      <c r="P70" s="77" t="n"/>
      <c r="Q70" s="81">
        <f>SUM(M70:P70)</f>
        <v/>
      </c>
      <c r="R70" s="69" t="b">
        <v>0</v>
      </c>
      <c r="S70" s="69" t="b">
        <v>0</v>
      </c>
      <c r="T70" s="69" t="b">
        <v>0</v>
      </c>
      <c r="U70" s="69" t="b">
        <v>0</v>
      </c>
      <c r="V70" s="83" t="n"/>
      <c r="W70" s="83" t="n"/>
      <c r="X70" s="83" t="n"/>
      <c r="Y70" s="84" t="n"/>
      <c r="Z70" s="84" t="n"/>
    </row>
    <row r="71" ht="18.75" customHeight="1" s="236">
      <c r="A71" s="65" t="n">
        <v>66</v>
      </c>
      <c r="B71" s="66" t="inlineStr">
        <is>
          <t>企業066</t>
        </is>
      </c>
      <c r="C71" s="85" t="n"/>
      <c r="D71" s="85" t="n"/>
      <c r="E71" s="85" t="inlineStr">
        <is>
          <t>1. 未着手</t>
        </is>
      </c>
      <c r="F71" s="85" t="n"/>
      <c r="G71" s="85" t="n"/>
      <c r="H71" s="85" t="n"/>
      <c r="I71" s="85" t="n"/>
      <c r="J71" s="85" t="n"/>
      <c r="K71" s="85" t="n"/>
      <c r="L71" s="85" t="n"/>
      <c r="M71" s="89" t="n"/>
      <c r="N71" s="89" t="n"/>
      <c r="O71" s="89" t="n"/>
      <c r="P71" s="89" t="n"/>
      <c r="Q71" s="81">
        <f>SUM(M71:P71)</f>
        <v/>
      </c>
      <c r="R71" s="85" t="b">
        <v>0</v>
      </c>
      <c r="S71" s="85" t="b">
        <v>0</v>
      </c>
      <c r="T71" s="85" t="b">
        <v>0</v>
      </c>
      <c r="U71" s="85" t="b">
        <v>0</v>
      </c>
      <c r="V71" s="91" t="n"/>
      <c r="W71" s="91" t="n"/>
      <c r="X71" s="91" t="n"/>
      <c r="Y71" s="92" t="n"/>
      <c r="Z71" s="92" t="n"/>
    </row>
    <row r="72" ht="18.75" customHeight="1" s="236">
      <c r="A72" s="65" t="n">
        <v>67</v>
      </c>
      <c r="B72" s="66" t="inlineStr">
        <is>
          <t>企業067</t>
        </is>
      </c>
      <c r="C72" s="69" t="n"/>
      <c r="D72" s="69" t="n"/>
      <c r="E72" s="69" t="inlineStr">
        <is>
          <t>1. 未着手</t>
        </is>
      </c>
      <c r="F72" s="69" t="n"/>
      <c r="G72" s="69" t="n"/>
      <c r="H72" s="69" t="n"/>
      <c r="I72" s="69" t="n"/>
      <c r="J72" s="69" t="n"/>
      <c r="K72" s="69" t="n"/>
      <c r="L72" s="69" t="n"/>
      <c r="M72" s="77" t="n"/>
      <c r="N72" s="77" t="n"/>
      <c r="O72" s="77" t="n"/>
      <c r="P72" s="77" t="n"/>
      <c r="Q72" s="81">
        <f>SUM(M72:P72)</f>
        <v/>
      </c>
      <c r="R72" s="69" t="b">
        <v>0</v>
      </c>
      <c r="S72" s="69" t="b">
        <v>0</v>
      </c>
      <c r="T72" s="69" t="b">
        <v>0</v>
      </c>
      <c r="U72" s="69" t="b">
        <v>0</v>
      </c>
      <c r="V72" s="83" t="n"/>
      <c r="W72" s="83" t="n"/>
      <c r="X72" s="83" t="n"/>
      <c r="Y72" s="84" t="n"/>
      <c r="Z72" s="84" t="n"/>
    </row>
    <row r="73" ht="18.75" customHeight="1" s="236">
      <c r="A73" s="65" t="n">
        <v>68</v>
      </c>
      <c r="B73" s="66" t="inlineStr">
        <is>
          <t>企業068</t>
        </is>
      </c>
      <c r="C73" s="85" t="n"/>
      <c r="D73" s="85" t="n"/>
      <c r="E73" s="85" t="inlineStr">
        <is>
          <t>1. 未着手</t>
        </is>
      </c>
      <c r="F73" s="85" t="n"/>
      <c r="G73" s="85" t="n"/>
      <c r="H73" s="85" t="n"/>
      <c r="I73" s="85" t="n"/>
      <c r="J73" s="85" t="n"/>
      <c r="K73" s="85" t="n"/>
      <c r="L73" s="85" t="n"/>
      <c r="M73" s="89" t="n"/>
      <c r="N73" s="89" t="n"/>
      <c r="O73" s="89" t="n"/>
      <c r="P73" s="89" t="n"/>
      <c r="Q73" s="81">
        <f>SUM(M73:P73)</f>
        <v/>
      </c>
      <c r="R73" s="85" t="b">
        <v>0</v>
      </c>
      <c r="S73" s="85" t="b">
        <v>0</v>
      </c>
      <c r="T73" s="85" t="b">
        <v>0</v>
      </c>
      <c r="U73" s="85" t="b">
        <v>0</v>
      </c>
      <c r="V73" s="91" t="n"/>
      <c r="W73" s="91" t="n"/>
      <c r="X73" s="91" t="n"/>
      <c r="Y73" s="92" t="n"/>
      <c r="Z73" s="92" t="n"/>
    </row>
    <row r="74" ht="18.75" customHeight="1" s="236">
      <c r="A74" s="65" t="n">
        <v>69</v>
      </c>
      <c r="B74" s="66" t="inlineStr">
        <is>
          <t>企業069</t>
        </is>
      </c>
      <c r="C74" s="69" t="n"/>
      <c r="D74" s="69" t="n"/>
      <c r="E74" s="69" t="inlineStr">
        <is>
          <t>1. 未着手</t>
        </is>
      </c>
      <c r="F74" s="69" t="n"/>
      <c r="G74" s="69" t="n"/>
      <c r="H74" s="69" t="n"/>
      <c r="I74" s="69" t="n"/>
      <c r="J74" s="69" t="n"/>
      <c r="K74" s="69" t="n"/>
      <c r="L74" s="69" t="n"/>
      <c r="M74" s="77" t="n"/>
      <c r="N74" s="77" t="n"/>
      <c r="O74" s="77" t="n"/>
      <c r="P74" s="77" t="n"/>
      <c r="Q74" s="81">
        <f>SUM(M74:P74)</f>
        <v/>
      </c>
      <c r="R74" s="69" t="b">
        <v>0</v>
      </c>
      <c r="S74" s="69" t="b">
        <v>0</v>
      </c>
      <c r="T74" s="69" t="b">
        <v>0</v>
      </c>
      <c r="U74" s="69" t="b">
        <v>0</v>
      </c>
      <c r="V74" s="83" t="n"/>
      <c r="W74" s="83" t="n"/>
      <c r="X74" s="83" t="n"/>
      <c r="Y74" s="84" t="n"/>
      <c r="Z74" s="84" t="n"/>
    </row>
    <row r="75" ht="18.75" customHeight="1" s="236">
      <c r="A75" s="65" t="n">
        <v>70</v>
      </c>
      <c r="B75" s="66" t="inlineStr">
        <is>
          <t>企業070</t>
        </is>
      </c>
      <c r="C75" s="85" t="n"/>
      <c r="D75" s="85" t="n"/>
      <c r="E75" s="85" t="inlineStr">
        <is>
          <t>1. 未着手</t>
        </is>
      </c>
      <c r="F75" s="85" t="n"/>
      <c r="G75" s="85" t="n"/>
      <c r="H75" s="85" t="n"/>
      <c r="I75" s="85" t="n"/>
      <c r="J75" s="85" t="n"/>
      <c r="K75" s="85" t="n"/>
      <c r="L75" s="85" t="n"/>
      <c r="M75" s="89" t="n"/>
      <c r="N75" s="89" t="n"/>
      <c r="O75" s="89" t="n"/>
      <c r="P75" s="89" t="n"/>
      <c r="Q75" s="81">
        <f>SUM(M75:P75)</f>
        <v/>
      </c>
      <c r="R75" s="85" t="b">
        <v>0</v>
      </c>
      <c r="S75" s="85" t="b">
        <v>0</v>
      </c>
      <c r="T75" s="85" t="b">
        <v>0</v>
      </c>
      <c r="U75" s="85" t="b">
        <v>0</v>
      </c>
      <c r="V75" s="91" t="n"/>
      <c r="W75" s="91" t="n"/>
      <c r="X75" s="91" t="n"/>
      <c r="Y75" s="92" t="n"/>
      <c r="Z75" s="92" t="n"/>
    </row>
    <row r="76" ht="18.75" customHeight="1" s="236">
      <c r="A76" s="65" t="n">
        <v>71</v>
      </c>
      <c r="B76" s="66" t="inlineStr">
        <is>
          <t>企業071</t>
        </is>
      </c>
      <c r="C76" s="69" t="n"/>
      <c r="D76" s="69" t="n"/>
      <c r="E76" s="69" t="inlineStr">
        <is>
          <t>1. 未着手</t>
        </is>
      </c>
      <c r="F76" s="69" t="n"/>
      <c r="G76" s="69" t="n"/>
      <c r="H76" s="69" t="n"/>
      <c r="I76" s="69" t="n"/>
      <c r="J76" s="69" t="n"/>
      <c r="K76" s="69" t="n"/>
      <c r="L76" s="69" t="n"/>
      <c r="M76" s="77" t="n"/>
      <c r="N76" s="77" t="n"/>
      <c r="O76" s="77" t="n"/>
      <c r="P76" s="77" t="n"/>
      <c r="Q76" s="81">
        <f>SUM(M76:P76)</f>
        <v/>
      </c>
      <c r="R76" s="69" t="b">
        <v>0</v>
      </c>
      <c r="S76" s="69" t="b">
        <v>0</v>
      </c>
      <c r="T76" s="69" t="b">
        <v>0</v>
      </c>
      <c r="U76" s="69" t="b">
        <v>0</v>
      </c>
      <c r="V76" s="83" t="n"/>
      <c r="W76" s="83" t="n"/>
      <c r="X76" s="83" t="n"/>
      <c r="Y76" s="84" t="n"/>
      <c r="Z76" s="84" t="n"/>
    </row>
    <row r="77" ht="18.75" customHeight="1" s="236">
      <c r="A77" s="65" t="n">
        <v>72</v>
      </c>
      <c r="B77" s="66" t="inlineStr">
        <is>
          <t>企業072</t>
        </is>
      </c>
      <c r="C77" s="85" t="n"/>
      <c r="D77" s="85" t="n"/>
      <c r="E77" s="85" t="inlineStr">
        <is>
          <t>1. 未着手</t>
        </is>
      </c>
      <c r="F77" s="85" t="n"/>
      <c r="G77" s="85" t="n"/>
      <c r="H77" s="85" t="n"/>
      <c r="I77" s="85" t="n"/>
      <c r="J77" s="85" t="n"/>
      <c r="K77" s="85" t="n"/>
      <c r="L77" s="85" t="n"/>
      <c r="M77" s="89" t="n"/>
      <c r="N77" s="89" t="n"/>
      <c r="O77" s="89" t="n"/>
      <c r="P77" s="89" t="n"/>
      <c r="Q77" s="81">
        <f>SUM(M77:P77)</f>
        <v/>
      </c>
      <c r="R77" s="85" t="b">
        <v>0</v>
      </c>
      <c r="S77" s="85" t="b">
        <v>0</v>
      </c>
      <c r="T77" s="85" t="b">
        <v>0</v>
      </c>
      <c r="U77" s="85" t="b">
        <v>0</v>
      </c>
      <c r="V77" s="91" t="n"/>
      <c r="W77" s="91" t="n"/>
      <c r="X77" s="91" t="n"/>
      <c r="Y77" s="92" t="n"/>
      <c r="Z77" s="92" t="n"/>
    </row>
    <row r="78" ht="18.75" customHeight="1" s="236">
      <c r="A78" s="65" t="n">
        <v>73</v>
      </c>
      <c r="B78" s="66" t="inlineStr">
        <is>
          <t>企業073</t>
        </is>
      </c>
      <c r="C78" s="69" t="n"/>
      <c r="D78" s="69" t="n"/>
      <c r="E78" s="69" t="inlineStr">
        <is>
          <t>1. 未着手</t>
        </is>
      </c>
      <c r="F78" s="69" t="n"/>
      <c r="G78" s="69" t="n"/>
      <c r="H78" s="69" t="n"/>
      <c r="I78" s="69" t="n"/>
      <c r="J78" s="69" t="n"/>
      <c r="K78" s="69" t="n"/>
      <c r="L78" s="69" t="n"/>
      <c r="M78" s="77" t="n"/>
      <c r="N78" s="77" t="n"/>
      <c r="O78" s="77" t="n"/>
      <c r="P78" s="77" t="n"/>
      <c r="Q78" s="81">
        <f>SUM(M78:P78)</f>
        <v/>
      </c>
      <c r="R78" s="69" t="b">
        <v>0</v>
      </c>
      <c r="S78" s="69" t="b">
        <v>0</v>
      </c>
      <c r="T78" s="69" t="b">
        <v>0</v>
      </c>
      <c r="U78" s="69" t="b">
        <v>0</v>
      </c>
      <c r="V78" s="83" t="n"/>
      <c r="W78" s="83" t="n"/>
      <c r="X78" s="83" t="n"/>
      <c r="Y78" s="84" t="n"/>
      <c r="Z78" s="84" t="n"/>
    </row>
    <row r="79" ht="18.75" customHeight="1" s="236">
      <c r="A79" s="65" t="n">
        <v>74</v>
      </c>
      <c r="B79" s="66" t="inlineStr">
        <is>
          <t>企業074</t>
        </is>
      </c>
      <c r="C79" s="85" t="n"/>
      <c r="D79" s="85" t="n"/>
      <c r="E79" s="85" t="inlineStr">
        <is>
          <t>1. 未着手</t>
        </is>
      </c>
      <c r="F79" s="85" t="n"/>
      <c r="G79" s="85" t="n"/>
      <c r="H79" s="85" t="n"/>
      <c r="I79" s="85" t="n"/>
      <c r="J79" s="85" t="n"/>
      <c r="K79" s="85" t="n"/>
      <c r="L79" s="85" t="n"/>
      <c r="M79" s="89" t="n"/>
      <c r="N79" s="89" t="n"/>
      <c r="O79" s="89" t="n"/>
      <c r="P79" s="89" t="n"/>
      <c r="Q79" s="81">
        <f>SUM(M79:P79)</f>
        <v/>
      </c>
      <c r="R79" s="85" t="b">
        <v>0</v>
      </c>
      <c r="S79" s="85" t="b">
        <v>0</v>
      </c>
      <c r="T79" s="85" t="b">
        <v>0</v>
      </c>
      <c r="U79" s="85" t="b">
        <v>0</v>
      </c>
      <c r="V79" s="91" t="n"/>
      <c r="W79" s="91" t="n"/>
      <c r="X79" s="91" t="n"/>
      <c r="Y79" s="92" t="n"/>
      <c r="Z79" s="92" t="n"/>
    </row>
    <row r="80" ht="18.75" customHeight="1" s="236">
      <c r="A80" s="65" t="n">
        <v>75</v>
      </c>
      <c r="B80" s="66" t="inlineStr">
        <is>
          <t>企業075</t>
        </is>
      </c>
      <c r="C80" s="69" t="n"/>
      <c r="D80" s="69" t="n"/>
      <c r="E80" s="69" t="inlineStr">
        <is>
          <t>1. 未着手</t>
        </is>
      </c>
      <c r="F80" s="69" t="n"/>
      <c r="G80" s="69" t="n"/>
      <c r="H80" s="69" t="n"/>
      <c r="I80" s="69" t="n"/>
      <c r="J80" s="69" t="n"/>
      <c r="K80" s="69" t="n"/>
      <c r="L80" s="69" t="n"/>
      <c r="M80" s="77" t="n"/>
      <c r="N80" s="77" t="n"/>
      <c r="O80" s="77" t="n"/>
      <c r="P80" s="77" t="n"/>
      <c r="Q80" s="81">
        <f>SUM(M80:P80)</f>
        <v/>
      </c>
      <c r="R80" s="69" t="b">
        <v>0</v>
      </c>
      <c r="S80" s="69" t="b">
        <v>0</v>
      </c>
      <c r="T80" s="69" t="b">
        <v>0</v>
      </c>
      <c r="U80" s="69" t="b">
        <v>0</v>
      </c>
      <c r="V80" s="83" t="n"/>
      <c r="W80" s="83" t="n"/>
      <c r="X80" s="83" t="n"/>
      <c r="Y80" s="84" t="n"/>
      <c r="Z80" s="84" t="n"/>
    </row>
    <row r="81" ht="18.75" customHeight="1" s="236">
      <c r="A81" s="65" t="n">
        <v>76</v>
      </c>
      <c r="B81" s="66" t="inlineStr">
        <is>
          <t>企業076</t>
        </is>
      </c>
      <c r="C81" s="85" t="n"/>
      <c r="D81" s="85" t="n"/>
      <c r="E81" s="85" t="inlineStr">
        <is>
          <t>1. 未着手</t>
        </is>
      </c>
      <c r="F81" s="85" t="n"/>
      <c r="G81" s="85" t="n"/>
      <c r="H81" s="85" t="n"/>
      <c r="I81" s="85" t="n"/>
      <c r="J81" s="85" t="n"/>
      <c r="K81" s="85" t="n"/>
      <c r="L81" s="85" t="n"/>
      <c r="M81" s="89" t="n"/>
      <c r="N81" s="89" t="n"/>
      <c r="O81" s="89" t="n"/>
      <c r="P81" s="89" t="n"/>
      <c r="Q81" s="81">
        <f>SUM(M81:P81)</f>
        <v/>
      </c>
      <c r="R81" s="85" t="b">
        <v>0</v>
      </c>
      <c r="S81" s="85" t="b">
        <v>0</v>
      </c>
      <c r="T81" s="85" t="b">
        <v>0</v>
      </c>
      <c r="U81" s="85" t="b">
        <v>0</v>
      </c>
      <c r="V81" s="91" t="n"/>
      <c r="W81" s="91" t="n"/>
      <c r="X81" s="91" t="n"/>
      <c r="Y81" s="92" t="n"/>
      <c r="Z81" s="92" t="n"/>
    </row>
    <row r="82" ht="18.75" customHeight="1" s="236">
      <c r="A82" s="65" t="n">
        <v>77</v>
      </c>
      <c r="B82" s="66" t="inlineStr">
        <is>
          <t>企業077</t>
        </is>
      </c>
      <c r="C82" s="69" t="n"/>
      <c r="D82" s="69" t="n"/>
      <c r="E82" s="69" t="inlineStr">
        <is>
          <t>1. 未着手</t>
        </is>
      </c>
      <c r="F82" s="69" t="n"/>
      <c r="G82" s="69" t="n"/>
      <c r="H82" s="69" t="n"/>
      <c r="I82" s="69" t="n"/>
      <c r="J82" s="69" t="n"/>
      <c r="K82" s="69" t="n"/>
      <c r="L82" s="69" t="n"/>
      <c r="M82" s="77" t="n"/>
      <c r="N82" s="77" t="n"/>
      <c r="O82" s="77" t="n"/>
      <c r="P82" s="77" t="n"/>
      <c r="Q82" s="81">
        <f>SUM(M82:P82)</f>
        <v/>
      </c>
      <c r="R82" s="69" t="b">
        <v>0</v>
      </c>
      <c r="S82" s="69" t="b">
        <v>0</v>
      </c>
      <c r="T82" s="69" t="b">
        <v>0</v>
      </c>
      <c r="U82" s="69" t="b">
        <v>0</v>
      </c>
      <c r="V82" s="83" t="n"/>
      <c r="W82" s="83" t="n"/>
      <c r="X82" s="83" t="n"/>
      <c r="Y82" s="84" t="n"/>
      <c r="Z82" s="84" t="n"/>
    </row>
    <row r="83" ht="18.75" customHeight="1" s="236">
      <c r="A83" s="65" t="n">
        <v>78</v>
      </c>
      <c r="B83" s="66" t="inlineStr">
        <is>
          <t>企業078</t>
        </is>
      </c>
      <c r="C83" s="85" t="n"/>
      <c r="D83" s="85" t="n"/>
      <c r="E83" s="85" t="inlineStr">
        <is>
          <t>1. 未着手</t>
        </is>
      </c>
      <c r="F83" s="85" t="n"/>
      <c r="G83" s="85" t="n"/>
      <c r="H83" s="85" t="n"/>
      <c r="I83" s="85" t="n"/>
      <c r="J83" s="85" t="n"/>
      <c r="K83" s="85" t="n"/>
      <c r="L83" s="85" t="n"/>
      <c r="M83" s="89" t="n"/>
      <c r="N83" s="89" t="n"/>
      <c r="O83" s="89" t="n"/>
      <c r="P83" s="89" t="n"/>
      <c r="Q83" s="81">
        <f>SUM(M83:P83)</f>
        <v/>
      </c>
      <c r="R83" s="85" t="b">
        <v>0</v>
      </c>
      <c r="S83" s="85" t="b">
        <v>0</v>
      </c>
      <c r="T83" s="85" t="b">
        <v>0</v>
      </c>
      <c r="U83" s="85" t="b">
        <v>0</v>
      </c>
      <c r="V83" s="91" t="n"/>
      <c r="W83" s="91" t="n"/>
      <c r="X83" s="91" t="n"/>
      <c r="Y83" s="92" t="n"/>
      <c r="Z83" s="92" t="n"/>
    </row>
    <row r="84" ht="18.75" customHeight="1" s="236">
      <c r="A84" s="65" t="n">
        <v>79</v>
      </c>
      <c r="B84" s="66" t="inlineStr">
        <is>
          <t>企業079</t>
        </is>
      </c>
      <c r="C84" s="69" t="n"/>
      <c r="D84" s="69" t="n"/>
      <c r="E84" s="69" t="inlineStr">
        <is>
          <t>1. 未着手</t>
        </is>
      </c>
      <c r="F84" s="69" t="n"/>
      <c r="G84" s="69" t="n"/>
      <c r="H84" s="69" t="n"/>
      <c r="I84" s="69" t="n"/>
      <c r="J84" s="69" t="n"/>
      <c r="K84" s="69" t="n"/>
      <c r="L84" s="69" t="n"/>
      <c r="M84" s="77" t="n"/>
      <c r="N84" s="77" t="n"/>
      <c r="O84" s="77" t="n"/>
      <c r="P84" s="77" t="n"/>
      <c r="Q84" s="81">
        <f>SUM(M84:P84)</f>
        <v/>
      </c>
      <c r="R84" s="69" t="b">
        <v>0</v>
      </c>
      <c r="S84" s="69" t="b">
        <v>0</v>
      </c>
      <c r="T84" s="69" t="b">
        <v>0</v>
      </c>
      <c r="U84" s="69" t="b">
        <v>0</v>
      </c>
      <c r="V84" s="83" t="n"/>
      <c r="W84" s="83" t="n"/>
      <c r="X84" s="83" t="n"/>
      <c r="Y84" s="84" t="n"/>
      <c r="Z84" s="84" t="n"/>
    </row>
    <row r="85" ht="18.75" customHeight="1" s="236">
      <c r="A85" s="65" t="n">
        <v>80</v>
      </c>
      <c r="B85" s="66" t="inlineStr">
        <is>
          <t>企業080</t>
        </is>
      </c>
      <c r="C85" s="85" t="n"/>
      <c r="D85" s="85" t="n"/>
      <c r="E85" s="85" t="inlineStr">
        <is>
          <t>1. 未着手</t>
        </is>
      </c>
      <c r="F85" s="85" t="n"/>
      <c r="G85" s="85" t="n"/>
      <c r="H85" s="85" t="n"/>
      <c r="I85" s="85" t="n"/>
      <c r="J85" s="85" t="n"/>
      <c r="K85" s="85" t="n"/>
      <c r="L85" s="85" t="n"/>
      <c r="M85" s="89" t="n"/>
      <c r="N85" s="89" t="n"/>
      <c r="O85" s="89" t="n"/>
      <c r="P85" s="89" t="n"/>
      <c r="Q85" s="81">
        <f>SUM(M85:P85)</f>
        <v/>
      </c>
      <c r="R85" s="85" t="b">
        <v>0</v>
      </c>
      <c r="S85" s="85" t="b">
        <v>0</v>
      </c>
      <c r="T85" s="85" t="b">
        <v>0</v>
      </c>
      <c r="U85" s="85" t="b">
        <v>0</v>
      </c>
      <c r="V85" s="91" t="n"/>
      <c r="W85" s="91" t="n"/>
      <c r="X85" s="91" t="n"/>
      <c r="Y85" s="92" t="n"/>
      <c r="Z85" s="92" t="n"/>
    </row>
    <row r="86" ht="18.75" customHeight="1" s="236">
      <c r="A86" s="65" t="n">
        <v>81</v>
      </c>
      <c r="B86" s="66" t="inlineStr">
        <is>
          <t>企業081</t>
        </is>
      </c>
      <c r="C86" s="69" t="n"/>
      <c r="D86" s="69" t="n"/>
      <c r="E86" s="69" t="inlineStr">
        <is>
          <t>1. 未着手</t>
        </is>
      </c>
      <c r="F86" s="69" t="n"/>
      <c r="G86" s="69" t="n"/>
      <c r="H86" s="69" t="n"/>
      <c r="I86" s="69" t="n"/>
      <c r="J86" s="69" t="n"/>
      <c r="K86" s="69" t="n"/>
      <c r="L86" s="69" t="n"/>
      <c r="M86" s="77" t="n"/>
      <c r="N86" s="77" t="n"/>
      <c r="O86" s="77" t="n"/>
      <c r="P86" s="77" t="n"/>
      <c r="Q86" s="81">
        <f>SUM(M86:P86)</f>
        <v/>
      </c>
      <c r="R86" s="69" t="b">
        <v>0</v>
      </c>
      <c r="S86" s="69" t="b">
        <v>0</v>
      </c>
      <c r="T86" s="69" t="b">
        <v>0</v>
      </c>
      <c r="U86" s="69" t="b">
        <v>0</v>
      </c>
      <c r="V86" s="83" t="n"/>
      <c r="W86" s="83" t="n"/>
      <c r="X86" s="83" t="n"/>
      <c r="Y86" s="84" t="n"/>
      <c r="Z86" s="84" t="n"/>
    </row>
    <row r="87" ht="18.75" customHeight="1" s="236">
      <c r="A87" s="65" t="n">
        <v>82</v>
      </c>
      <c r="B87" s="66" t="inlineStr">
        <is>
          <t>企業082</t>
        </is>
      </c>
      <c r="C87" s="85" t="n"/>
      <c r="D87" s="85" t="n"/>
      <c r="E87" s="85" t="inlineStr">
        <is>
          <t>1. 未着手</t>
        </is>
      </c>
      <c r="F87" s="85" t="n"/>
      <c r="G87" s="85" t="n"/>
      <c r="H87" s="85" t="n"/>
      <c r="I87" s="85" t="n"/>
      <c r="J87" s="85" t="n"/>
      <c r="K87" s="85" t="n"/>
      <c r="L87" s="85" t="n"/>
      <c r="M87" s="89" t="n"/>
      <c r="N87" s="89" t="n"/>
      <c r="O87" s="89" t="n"/>
      <c r="P87" s="89" t="n"/>
      <c r="Q87" s="81">
        <f>SUM(M87:P87)</f>
        <v/>
      </c>
      <c r="R87" s="85" t="b">
        <v>0</v>
      </c>
      <c r="S87" s="85" t="b">
        <v>0</v>
      </c>
      <c r="T87" s="85" t="b">
        <v>0</v>
      </c>
      <c r="U87" s="85" t="b">
        <v>0</v>
      </c>
      <c r="V87" s="91" t="n"/>
      <c r="W87" s="91" t="n"/>
      <c r="X87" s="91" t="n"/>
      <c r="Y87" s="92" t="n"/>
      <c r="Z87" s="92" t="n"/>
    </row>
    <row r="88" ht="18.75" customHeight="1" s="236">
      <c r="A88" s="65" t="n">
        <v>83</v>
      </c>
      <c r="B88" s="66" t="inlineStr">
        <is>
          <t>企業083</t>
        </is>
      </c>
      <c r="C88" s="69" t="n"/>
      <c r="D88" s="69" t="n"/>
      <c r="E88" s="69" t="inlineStr">
        <is>
          <t>1. 未着手</t>
        </is>
      </c>
      <c r="F88" s="69" t="n"/>
      <c r="G88" s="69" t="n"/>
      <c r="H88" s="69" t="n"/>
      <c r="I88" s="69" t="n"/>
      <c r="J88" s="69" t="n"/>
      <c r="K88" s="69" t="n"/>
      <c r="L88" s="69" t="n"/>
      <c r="M88" s="77" t="n"/>
      <c r="N88" s="77" t="n"/>
      <c r="O88" s="77" t="n"/>
      <c r="P88" s="77" t="n"/>
      <c r="Q88" s="81">
        <f>SUM(M88:P88)</f>
        <v/>
      </c>
      <c r="R88" s="69" t="b">
        <v>0</v>
      </c>
      <c r="S88" s="69" t="b">
        <v>0</v>
      </c>
      <c r="T88" s="69" t="b">
        <v>0</v>
      </c>
      <c r="U88" s="69" t="b">
        <v>0</v>
      </c>
      <c r="V88" s="83" t="n"/>
      <c r="W88" s="83" t="n"/>
      <c r="X88" s="83" t="n"/>
      <c r="Y88" s="84" t="n"/>
      <c r="Z88" s="84" t="n"/>
    </row>
    <row r="89" ht="18.75" customHeight="1" s="236">
      <c r="A89" s="65" t="n">
        <v>84</v>
      </c>
      <c r="B89" s="66" t="inlineStr">
        <is>
          <t>企業084</t>
        </is>
      </c>
      <c r="C89" s="85" t="n"/>
      <c r="D89" s="85" t="n"/>
      <c r="E89" s="85" t="inlineStr">
        <is>
          <t>1. 未着手</t>
        </is>
      </c>
      <c r="F89" s="85" t="n"/>
      <c r="G89" s="85" t="n"/>
      <c r="H89" s="85" t="n"/>
      <c r="I89" s="85" t="n"/>
      <c r="J89" s="85" t="n"/>
      <c r="K89" s="85" t="n"/>
      <c r="L89" s="85" t="n"/>
      <c r="M89" s="89" t="n"/>
      <c r="N89" s="89" t="n"/>
      <c r="O89" s="89" t="n"/>
      <c r="P89" s="89" t="n"/>
      <c r="Q89" s="81">
        <f>SUM(M89:P89)</f>
        <v/>
      </c>
      <c r="R89" s="85" t="b">
        <v>0</v>
      </c>
      <c r="S89" s="85" t="b">
        <v>0</v>
      </c>
      <c r="T89" s="85" t="b">
        <v>0</v>
      </c>
      <c r="U89" s="85" t="b">
        <v>0</v>
      </c>
      <c r="V89" s="91" t="n"/>
      <c r="W89" s="91" t="n"/>
      <c r="X89" s="91" t="n"/>
      <c r="Y89" s="92" t="n"/>
      <c r="Z89" s="92" t="n"/>
    </row>
    <row r="90" ht="18.75" customHeight="1" s="236">
      <c r="A90" s="65" t="n">
        <v>85</v>
      </c>
      <c r="B90" s="66" t="inlineStr">
        <is>
          <t>企業085</t>
        </is>
      </c>
      <c r="C90" s="69" t="n"/>
      <c r="D90" s="69" t="n"/>
      <c r="E90" s="69" t="inlineStr">
        <is>
          <t>1. 未着手</t>
        </is>
      </c>
      <c r="F90" s="69" t="n"/>
      <c r="G90" s="69" t="n"/>
      <c r="H90" s="69" t="n"/>
      <c r="I90" s="69" t="n"/>
      <c r="J90" s="69" t="n"/>
      <c r="K90" s="69" t="n"/>
      <c r="L90" s="69" t="n"/>
      <c r="M90" s="77" t="n"/>
      <c r="N90" s="77" t="n"/>
      <c r="O90" s="77" t="n"/>
      <c r="P90" s="77" t="n"/>
      <c r="Q90" s="81">
        <f>SUM(M90:P90)</f>
        <v/>
      </c>
      <c r="R90" s="69" t="b">
        <v>0</v>
      </c>
      <c r="S90" s="69" t="b">
        <v>0</v>
      </c>
      <c r="T90" s="69" t="b">
        <v>0</v>
      </c>
      <c r="U90" s="69" t="b">
        <v>0</v>
      </c>
      <c r="V90" s="83" t="n"/>
      <c r="W90" s="83" t="n"/>
      <c r="X90" s="83" t="n"/>
      <c r="Y90" s="84" t="n"/>
      <c r="Z90" s="84" t="n"/>
    </row>
    <row r="91" ht="18.75" customHeight="1" s="236">
      <c r="A91" s="65" t="n">
        <v>86</v>
      </c>
      <c r="B91" s="66" t="inlineStr">
        <is>
          <t>企業086</t>
        </is>
      </c>
      <c r="C91" s="85" t="n"/>
      <c r="D91" s="85" t="n"/>
      <c r="E91" s="85" t="inlineStr">
        <is>
          <t>1. 未着手</t>
        </is>
      </c>
      <c r="F91" s="85" t="n"/>
      <c r="G91" s="85" t="n"/>
      <c r="H91" s="85" t="n"/>
      <c r="I91" s="85" t="n"/>
      <c r="J91" s="85" t="n"/>
      <c r="K91" s="85" t="n"/>
      <c r="L91" s="85" t="n"/>
      <c r="M91" s="89" t="n"/>
      <c r="N91" s="89" t="n"/>
      <c r="O91" s="89" t="n"/>
      <c r="P91" s="89" t="n"/>
      <c r="Q91" s="81">
        <f>SUM(M91:P91)</f>
        <v/>
      </c>
      <c r="R91" s="85" t="b">
        <v>0</v>
      </c>
      <c r="S91" s="85" t="b">
        <v>0</v>
      </c>
      <c r="T91" s="85" t="b">
        <v>0</v>
      </c>
      <c r="U91" s="85" t="b">
        <v>0</v>
      </c>
      <c r="V91" s="91" t="n"/>
      <c r="W91" s="91" t="n"/>
      <c r="X91" s="91" t="n"/>
      <c r="Y91" s="92" t="n"/>
      <c r="Z91" s="92" t="n"/>
    </row>
    <row r="92" ht="18.75" customHeight="1" s="236">
      <c r="A92" s="65" t="n">
        <v>87</v>
      </c>
      <c r="B92" s="66" t="inlineStr">
        <is>
          <t>企業087</t>
        </is>
      </c>
      <c r="C92" s="69" t="n"/>
      <c r="D92" s="69" t="n"/>
      <c r="E92" s="69" t="inlineStr">
        <is>
          <t>1. 未着手</t>
        </is>
      </c>
      <c r="F92" s="69" t="n"/>
      <c r="G92" s="69" t="n"/>
      <c r="H92" s="69" t="n"/>
      <c r="I92" s="69" t="n"/>
      <c r="J92" s="69" t="n"/>
      <c r="K92" s="69" t="n"/>
      <c r="L92" s="69" t="n"/>
      <c r="M92" s="77" t="n"/>
      <c r="N92" s="77" t="n"/>
      <c r="O92" s="77" t="n"/>
      <c r="P92" s="77" t="n"/>
      <c r="Q92" s="81">
        <f>SUM(M92:P92)</f>
        <v/>
      </c>
      <c r="R92" s="69" t="b">
        <v>0</v>
      </c>
      <c r="S92" s="69" t="b">
        <v>0</v>
      </c>
      <c r="T92" s="69" t="b">
        <v>0</v>
      </c>
      <c r="U92" s="69" t="b">
        <v>0</v>
      </c>
      <c r="V92" s="83" t="n"/>
      <c r="W92" s="83" t="n"/>
      <c r="X92" s="83" t="n"/>
      <c r="Y92" s="84" t="n"/>
      <c r="Z92" s="84" t="n"/>
    </row>
    <row r="93" ht="18.75" customHeight="1" s="236">
      <c r="A93" s="65" t="n">
        <v>88</v>
      </c>
      <c r="B93" s="66" t="inlineStr">
        <is>
          <t>企業088</t>
        </is>
      </c>
      <c r="C93" s="85" t="n"/>
      <c r="D93" s="85" t="n"/>
      <c r="E93" s="85" t="inlineStr">
        <is>
          <t>1. 未着手</t>
        </is>
      </c>
      <c r="F93" s="85" t="n"/>
      <c r="G93" s="85" t="n"/>
      <c r="H93" s="85" t="n"/>
      <c r="I93" s="85" t="n"/>
      <c r="J93" s="85" t="n"/>
      <c r="K93" s="85" t="n"/>
      <c r="L93" s="85" t="n"/>
      <c r="M93" s="89" t="n"/>
      <c r="N93" s="89" t="n"/>
      <c r="O93" s="89" t="n"/>
      <c r="P93" s="89" t="n"/>
      <c r="Q93" s="81">
        <f>SUM(M93:P93)</f>
        <v/>
      </c>
      <c r="R93" s="85" t="b">
        <v>0</v>
      </c>
      <c r="S93" s="85" t="b">
        <v>0</v>
      </c>
      <c r="T93" s="85" t="b">
        <v>0</v>
      </c>
      <c r="U93" s="85" t="b">
        <v>0</v>
      </c>
      <c r="V93" s="91" t="n"/>
      <c r="W93" s="91" t="n"/>
      <c r="X93" s="91" t="n"/>
      <c r="Y93" s="92" t="n"/>
      <c r="Z93" s="92" t="n"/>
    </row>
    <row r="94" ht="18.75" customHeight="1" s="236">
      <c r="A94" s="65" t="n">
        <v>89</v>
      </c>
      <c r="B94" s="66" t="inlineStr">
        <is>
          <t>企業089</t>
        </is>
      </c>
      <c r="C94" s="69" t="n"/>
      <c r="D94" s="69" t="n"/>
      <c r="E94" s="69" t="inlineStr">
        <is>
          <t>1. 未着手</t>
        </is>
      </c>
      <c r="F94" s="69" t="n"/>
      <c r="G94" s="69" t="n"/>
      <c r="H94" s="69" t="n"/>
      <c r="I94" s="69" t="n"/>
      <c r="J94" s="69" t="n"/>
      <c r="K94" s="69" t="n"/>
      <c r="L94" s="69" t="n"/>
      <c r="M94" s="77" t="n"/>
      <c r="N94" s="77" t="n"/>
      <c r="O94" s="77" t="n"/>
      <c r="P94" s="77" t="n"/>
      <c r="Q94" s="81">
        <f>SUM(M94:P94)</f>
        <v/>
      </c>
      <c r="R94" s="69" t="b">
        <v>0</v>
      </c>
      <c r="S94" s="69" t="b">
        <v>0</v>
      </c>
      <c r="T94" s="69" t="b">
        <v>0</v>
      </c>
      <c r="U94" s="69" t="b">
        <v>0</v>
      </c>
      <c r="V94" s="83" t="n"/>
      <c r="W94" s="83" t="n"/>
      <c r="X94" s="83" t="n"/>
      <c r="Y94" s="84" t="n"/>
      <c r="Z94" s="84" t="n"/>
    </row>
    <row r="95" ht="18.75" customHeight="1" s="236">
      <c r="A95" s="65" t="n">
        <v>90</v>
      </c>
      <c r="B95" s="66" t="inlineStr">
        <is>
          <t>企業090</t>
        </is>
      </c>
      <c r="C95" s="85" t="n"/>
      <c r="D95" s="85" t="n"/>
      <c r="E95" s="85" t="inlineStr">
        <is>
          <t>1. 未着手</t>
        </is>
      </c>
      <c r="F95" s="85" t="n"/>
      <c r="G95" s="85" t="n"/>
      <c r="H95" s="85" t="n"/>
      <c r="I95" s="85" t="n"/>
      <c r="J95" s="85" t="n"/>
      <c r="K95" s="85" t="n"/>
      <c r="L95" s="85" t="n"/>
      <c r="M95" s="89" t="n"/>
      <c r="N95" s="89" t="n"/>
      <c r="O95" s="89" t="n"/>
      <c r="P95" s="89" t="n"/>
      <c r="Q95" s="81">
        <f>SUM(M95:P95)</f>
        <v/>
      </c>
      <c r="R95" s="85" t="b">
        <v>0</v>
      </c>
      <c r="S95" s="85" t="b">
        <v>0</v>
      </c>
      <c r="T95" s="85" t="b">
        <v>0</v>
      </c>
      <c r="U95" s="85" t="b">
        <v>0</v>
      </c>
      <c r="V95" s="91" t="n"/>
      <c r="W95" s="91" t="n"/>
      <c r="X95" s="91" t="n"/>
      <c r="Y95" s="92" t="n"/>
      <c r="Z95" s="92" t="n"/>
    </row>
    <row r="96" ht="18.75" customHeight="1" s="236">
      <c r="A96" s="65" t="n">
        <v>91</v>
      </c>
      <c r="B96" s="66" t="inlineStr">
        <is>
          <t>企業091</t>
        </is>
      </c>
      <c r="C96" s="69" t="n"/>
      <c r="D96" s="69" t="n"/>
      <c r="E96" s="69" t="inlineStr">
        <is>
          <t>1. 未着手</t>
        </is>
      </c>
      <c r="F96" s="69" t="n"/>
      <c r="G96" s="69" t="n"/>
      <c r="H96" s="69" t="n"/>
      <c r="I96" s="69" t="n"/>
      <c r="J96" s="69" t="n"/>
      <c r="K96" s="69" t="n"/>
      <c r="L96" s="69" t="n"/>
      <c r="M96" s="77" t="n"/>
      <c r="N96" s="77" t="n"/>
      <c r="O96" s="77" t="n"/>
      <c r="P96" s="77" t="n"/>
      <c r="Q96" s="81">
        <f>SUM(M96:P96)</f>
        <v/>
      </c>
      <c r="R96" s="69" t="b">
        <v>0</v>
      </c>
      <c r="S96" s="69" t="b">
        <v>0</v>
      </c>
      <c r="T96" s="69" t="b">
        <v>0</v>
      </c>
      <c r="U96" s="69" t="b">
        <v>0</v>
      </c>
      <c r="V96" s="83" t="n"/>
      <c r="W96" s="83" t="n"/>
      <c r="X96" s="83" t="n"/>
      <c r="Y96" s="84" t="n"/>
      <c r="Z96" s="84" t="n"/>
    </row>
    <row r="97" ht="18.75" customHeight="1" s="236">
      <c r="A97" s="65" t="n">
        <v>92</v>
      </c>
      <c r="B97" s="66" t="inlineStr">
        <is>
          <t>企業092</t>
        </is>
      </c>
      <c r="C97" s="85" t="n"/>
      <c r="D97" s="85" t="n"/>
      <c r="E97" s="85" t="inlineStr">
        <is>
          <t>1. 未着手</t>
        </is>
      </c>
      <c r="F97" s="85" t="n"/>
      <c r="G97" s="85" t="n"/>
      <c r="H97" s="85" t="n"/>
      <c r="I97" s="85" t="n"/>
      <c r="J97" s="85" t="n"/>
      <c r="K97" s="85" t="n"/>
      <c r="L97" s="85" t="n"/>
      <c r="M97" s="89" t="n"/>
      <c r="N97" s="89" t="n"/>
      <c r="O97" s="89" t="n"/>
      <c r="P97" s="89" t="n"/>
      <c r="Q97" s="81">
        <f>SUM(M97:P97)</f>
        <v/>
      </c>
      <c r="R97" s="85" t="b">
        <v>0</v>
      </c>
      <c r="S97" s="85" t="b">
        <v>0</v>
      </c>
      <c r="T97" s="85" t="b">
        <v>0</v>
      </c>
      <c r="U97" s="85" t="b">
        <v>0</v>
      </c>
      <c r="V97" s="91" t="n"/>
      <c r="W97" s="91" t="n"/>
      <c r="X97" s="91" t="n"/>
      <c r="Y97" s="92" t="n"/>
      <c r="Z97" s="92" t="n"/>
    </row>
    <row r="98" ht="18.75" customHeight="1" s="236">
      <c r="A98" s="65" t="n">
        <v>93</v>
      </c>
      <c r="B98" s="66" t="inlineStr">
        <is>
          <t>企業093</t>
        </is>
      </c>
      <c r="C98" s="69" t="n"/>
      <c r="D98" s="69" t="n"/>
      <c r="E98" s="69" t="inlineStr">
        <is>
          <t>1. 未着手</t>
        </is>
      </c>
      <c r="F98" s="69" t="n"/>
      <c r="G98" s="69" t="n"/>
      <c r="H98" s="69" t="n"/>
      <c r="I98" s="69" t="n"/>
      <c r="J98" s="69" t="n"/>
      <c r="K98" s="69" t="n"/>
      <c r="L98" s="69" t="n"/>
      <c r="M98" s="77" t="n"/>
      <c r="N98" s="77" t="n"/>
      <c r="O98" s="77" t="n"/>
      <c r="P98" s="77" t="n"/>
      <c r="Q98" s="81">
        <f>SUM(M98:P98)</f>
        <v/>
      </c>
      <c r="R98" s="69" t="b">
        <v>0</v>
      </c>
      <c r="S98" s="69" t="b">
        <v>0</v>
      </c>
      <c r="T98" s="69" t="b">
        <v>0</v>
      </c>
      <c r="U98" s="69" t="b">
        <v>0</v>
      </c>
      <c r="V98" s="83" t="n"/>
      <c r="W98" s="83" t="n"/>
      <c r="X98" s="83" t="n"/>
      <c r="Y98" s="84" t="n"/>
      <c r="Z98" s="84" t="n"/>
    </row>
    <row r="99" ht="18.75" customHeight="1" s="236">
      <c r="A99" s="65" t="n">
        <v>94</v>
      </c>
      <c r="B99" s="66" t="inlineStr">
        <is>
          <t>企業094</t>
        </is>
      </c>
      <c r="C99" s="85" t="n"/>
      <c r="D99" s="85" t="n"/>
      <c r="E99" s="85" t="inlineStr">
        <is>
          <t>1. 未着手</t>
        </is>
      </c>
      <c r="F99" s="85" t="n"/>
      <c r="G99" s="85" t="n"/>
      <c r="H99" s="85" t="n"/>
      <c r="I99" s="85" t="n"/>
      <c r="J99" s="85" t="n"/>
      <c r="K99" s="85" t="n"/>
      <c r="L99" s="85" t="n"/>
      <c r="M99" s="89" t="n"/>
      <c r="N99" s="89" t="n"/>
      <c r="O99" s="89" t="n"/>
      <c r="P99" s="89" t="n"/>
      <c r="Q99" s="81">
        <f>SUM(M99:P99)</f>
        <v/>
      </c>
      <c r="R99" s="85" t="b">
        <v>0</v>
      </c>
      <c r="S99" s="85" t="b">
        <v>0</v>
      </c>
      <c r="T99" s="85" t="b">
        <v>0</v>
      </c>
      <c r="U99" s="85" t="b">
        <v>0</v>
      </c>
      <c r="V99" s="91" t="n"/>
      <c r="W99" s="91" t="n"/>
      <c r="X99" s="91" t="n"/>
      <c r="Y99" s="92" t="n"/>
      <c r="Z99" s="92" t="n"/>
    </row>
    <row r="100" ht="18.75" customHeight="1" s="236">
      <c r="A100" s="65" t="n">
        <v>95</v>
      </c>
      <c r="B100" s="66" t="inlineStr">
        <is>
          <t>企業095</t>
        </is>
      </c>
      <c r="C100" s="69" t="n"/>
      <c r="D100" s="69" t="n"/>
      <c r="E100" s="69" t="inlineStr">
        <is>
          <t>1. 未着手</t>
        </is>
      </c>
      <c r="F100" s="69" t="n"/>
      <c r="G100" s="69" t="n"/>
      <c r="H100" s="69" t="n"/>
      <c r="I100" s="69" t="n"/>
      <c r="J100" s="69" t="n"/>
      <c r="K100" s="69" t="n"/>
      <c r="L100" s="69" t="n"/>
      <c r="M100" s="77" t="n"/>
      <c r="N100" s="77" t="n"/>
      <c r="O100" s="77" t="n"/>
      <c r="P100" s="77" t="n"/>
      <c r="Q100" s="81">
        <f>SUM(M100:P100)</f>
        <v/>
      </c>
      <c r="R100" s="69" t="b">
        <v>0</v>
      </c>
      <c r="S100" s="69" t="b">
        <v>0</v>
      </c>
      <c r="T100" s="69" t="b">
        <v>0</v>
      </c>
      <c r="U100" s="69" t="b">
        <v>0</v>
      </c>
      <c r="V100" s="83" t="n"/>
      <c r="W100" s="83" t="n"/>
      <c r="X100" s="83" t="n"/>
      <c r="Y100" s="84" t="n"/>
      <c r="Z100" s="84" t="n"/>
    </row>
    <row r="101" ht="18.75" customHeight="1" s="236">
      <c r="A101" s="65" t="n">
        <v>96</v>
      </c>
      <c r="B101" s="66" t="inlineStr">
        <is>
          <t>企業096</t>
        </is>
      </c>
      <c r="C101" s="85" t="n"/>
      <c r="D101" s="85" t="n"/>
      <c r="E101" s="85" t="inlineStr">
        <is>
          <t>1. 未着手</t>
        </is>
      </c>
      <c r="F101" s="85" t="n"/>
      <c r="G101" s="85" t="n"/>
      <c r="H101" s="85" t="n"/>
      <c r="I101" s="85" t="n"/>
      <c r="J101" s="85" t="n"/>
      <c r="K101" s="85" t="n"/>
      <c r="L101" s="85" t="n"/>
      <c r="M101" s="89" t="n"/>
      <c r="N101" s="89" t="n"/>
      <c r="O101" s="89" t="n"/>
      <c r="P101" s="89" t="n"/>
      <c r="Q101" s="81">
        <f>SUM(M101:P101)</f>
        <v/>
      </c>
      <c r="R101" s="85" t="b">
        <v>0</v>
      </c>
      <c r="S101" s="85" t="b">
        <v>0</v>
      </c>
      <c r="T101" s="85" t="b">
        <v>0</v>
      </c>
      <c r="U101" s="85" t="b">
        <v>0</v>
      </c>
      <c r="V101" s="91" t="n"/>
      <c r="W101" s="91" t="n"/>
      <c r="X101" s="91" t="n"/>
      <c r="Y101" s="92" t="n"/>
      <c r="Z101" s="92" t="n"/>
    </row>
    <row r="102" ht="18.75" customHeight="1" s="236">
      <c r="A102" s="65" t="n">
        <v>97</v>
      </c>
      <c r="B102" s="66" t="inlineStr">
        <is>
          <t>企業097</t>
        </is>
      </c>
      <c r="C102" s="69" t="n"/>
      <c r="D102" s="69" t="n"/>
      <c r="E102" s="69" t="inlineStr">
        <is>
          <t>1. 未着手</t>
        </is>
      </c>
      <c r="F102" s="69" t="n"/>
      <c r="G102" s="69" t="n"/>
      <c r="H102" s="69" t="n"/>
      <c r="I102" s="69" t="n"/>
      <c r="J102" s="69" t="n"/>
      <c r="K102" s="69" t="n"/>
      <c r="L102" s="69" t="n"/>
      <c r="M102" s="77" t="n"/>
      <c r="N102" s="77" t="n"/>
      <c r="O102" s="77" t="n"/>
      <c r="P102" s="77" t="n"/>
      <c r="Q102" s="81">
        <f>SUM(M102:P102)</f>
        <v/>
      </c>
      <c r="R102" s="69" t="b">
        <v>0</v>
      </c>
      <c r="S102" s="69" t="b">
        <v>0</v>
      </c>
      <c r="T102" s="69" t="b">
        <v>0</v>
      </c>
      <c r="U102" s="69" t="b">
        <v>0</v>
      </c>
      <c r="V102" s="83" t="n"/>
      <c r="W102" s="83" t="n"/>
      <c r="X102" s="83" t="n"/>
      <c r="Y102" s="84" t="n"/>
      <c r="Z102" s="84" t="n"/>
    </row>
    <row r="103" ht="18.75" customHeight="1" s="236">
      <c r="A103" s="65" t="n">
        <v>98</v>
      </c>
      <c r="B103" s="66" t="inlineStr">
        <is>
          <t>企業098</t>
        </is>
      </c>
      <c r="C103" s="85" t="n"/>
      <c r="D103" s="85" t="n"/>
      <c r="E103" s="85" t="inlineStr">
        <is>
          <t>1. 未着手</t>
        </is>
      </c>
      <c r="F103" s="85" t="n"/>
      <c r="G103" s="85" t="n"/>
      <c r="H103" s="85" t="n"/>
      <c r="I103" s="85" t="n"/>
      <c r="J103" s="85" t="n"/>
      <c r="K103" s="85" t="n"/>
      <c r="L103" s="85" t="n"/>
      <c r="M103" s="89" t="n"/>
      <c r="N103" s="89" t="n"/>
      <c r="O103" s="89" t="n"/>
      <c r="P103" s="89" t="n"/>
      <c r="Q103" s="81">
        <f>SUM(M103:P103)</f>
        <v/>
      </c>
      <c r="R103" s="85" t="b">
        <v>0</v>
      </c>
      <c r="S103" s="85" t="b">
        <v>0</v>
      </c>
      <c r="T103" s="85" t="b">
        <v>0</v>
      </c>
      <c r="U103" s="85" t="b">
        <v>0</v>
      </c>
      <c r="V103" s="91" t="n"/>
      <c r="W103" s="91" t="n"/>
      <c r="X103" s="91" t="n"/>
      <c r="Y103" s="92" t="n"/>
      <c r="Z103" s="92" t="n"/>
    </row>
    <row r="104" ht="18.75" customHeight="1" s="236">
      <c r="A104" s="65" t="n">
        <v>99</v>
      </c>
      <c r="B104" s="66" t="inlineStr">
        <is>
          <t>企業099</t>
        </is>
      </c>
      <c r="C104" s="69" t="n"/>
      <c r="D104" s="69" t="n"/>
      <c r="E104" s="69" t="inlineStr">
        <is>
          <t>1. 未着手</t>
        </is>
      </c>
      <c r="F104" s="69" t="n"/>
      <c r="G104" s="69" t="n"/>
      <c r="H104" s="69" t="n"/>
      <c r="I104" s="69" t="n"/>
      <c r="J104" s="69" t="n"/>
      <c r="K104" s="69" t="n"/>
      <c r="L104" s="69" t="n"/>
      <c r="M104" s="77" t="n"/>
      <c r="N104" s="77" t="n"/>
      <c r="O104" s="77" t="n"/>
      <c r="P104" s="77" t="n"/>
      <c r="Q104" s="81">
        <f>SUM(M104:P104)</f>
        <v/>
      </c>
      <c r="R104" s="69" t="b">
        <v>0</v>
      </c>
      <c r="S104" s="69" t="b">
        <v>0</v>
      </c>
      <c r="T104" s="69" t="b">
        <v>0</v>
      </c>
      <c r="U104" s="69" t="b">
        <v>0</v>
      </c>
      <c r="V104" s="83" t="n"/>
      <c r="W104" s="83" t="n"/>
      <c r="X104" s="83" t="n"/>
      <c r="Y104" s="84" t="n"/>
      <c r="Z104" s="84" t="n"/>
    </row>
    <row r="105" ht="18.75" customHeight="1" s="236">
      <c r="A105" s="65" t="n">
        <v>100</v>
      </c>
      <c r="B105" s="66" t="inlineStr">
        <is>
          <t>企業100</t>
        </is>
      </c>
      <c r="C105" s="85" t="n"/>
      <c r="D105" s="85" t="n"/>
      <c r="E105" s="85" t="inlineStr">
        <is>
          <t>1. 未着手</t>
        </is>
      </c>
      <c r="F105" s="85" t="n"/>
      <c r="G105" s="85" t="n"/>
      <c r="H105" s="85" t="n"/>
      <c r="I105" s="85" t="n"/>
      <c r="J105" s="85" t="n"/>
      <c r="K105" s="85" t="n"/>
      <c r="L105" s="85" t="n"/>
      <c r="M105" s="89" t="n"/>
      <c r="N105" s="89" t="n"/>
      <c r="O105" s="89" t="n"/>
      <c r="P105" s="89" t="n"/>
      <c r="Q105" s="81">
        <f>SUM(M105:P105)</f>
        <v/>
      </c>
      <c r="R105" s="85" t="b">
        <v>0</v>
      </c>
      <c r="S105" s="85" t="b">
        <v>0</v>
      </c>
      <c r="T105" s="85" t="b">
        <v>0</v>
      </c>
      <c r="U105" s="85" t="b">
        <v>0</v>
      </c>
      <c r="V105" s="91" t="n"/>
      <c r="W105" s="91" t="n"/>
      <c r="X105" s="91" t="n"/>
      <c r="Y105" s="92" t="n"/>
      <c r="Z105" s="92" t="n"/>
    </row>
    <row r="106" ht="18.75" customHeight="1" s="236">
      <c r="A106" s="65" t="n">
        <v>101</v>
      </c>
      <c r="B106" s="66" t="inlineStr">
        <is>
          <t>企業101</t>
        </is>
      </c>
      <c r="C106" s="69" t="n"/>
      <c r="D106" s="69" t="n"/>
      <c r="E106" s="69" t="inlineStr">
        <is>
          <t>1. 未着手</t>
        </is>
      </c>
      <c r="F106" s="69" t="n"/>
      <c r="G106" s="69" t="n"/>
      <c r="H106" s="69" t="n"/>
      <c r="I106" s="69" t="n"/>
      <c r="J106" s="69" t="n"/>
      <c r="K106" s="69" t="n"/>
      <c r="L106" s="69" t="n"/>
      <c r="M106" s="77" t="n"/>
      <c r="N106" s="77" t="n"/>
      <c r="O106" s="77" t="n"/>
      <c r="P106" s="77" t="n"/>
      <c r="Q106" s="81">
        <f>SUM(M106:P106)</f>
        <v/>
      </c>
      <c r="R106" s="69" t="b">
        <v>0</v>
      </c>
      <c r="S106" s="69" t="b">
        <v>0</v>
      </c>
      <c r="T106" s="69" t="b">
        <v>0</v>
      </c>
      <c r="U106" s="69" t="b">
        <v>0</v>
      </c>
      <c r="V106" s="83" t="n"/>
      <c r="W106" s="83" t="n"/>
      <c r="X106" s="83" t="n"/>
      <c r="Y106" s="84" t="n"/>
      <c r="Z106" s="84" t="n"/>
    </row>
    <row r="107" ht="18.75" customHeight="1" s="236">
      <c r="A107" s="65" t="n">
        <v>102</v>
      </c>
      <c r="B107" s="66" t="inlineStr">
        <is>
          <t>企業102</t>
        </is>
      </c>
      <c r="C107" s="85" t="n"/>
      <c r="D107" s="85" t="n"/>
      <c r="E107" s="85" t="inlineStr">
        <is>
          <t>1. 未着手</t>
        </is>
      </c>
      <c r="F107" s="85" t="n"/>
      <c r="G107" s="85" t="n"/>
      <c r="H107" s="85" t="n"/>
      <c r="I107" s="85" t="n"/>
      <c r="J107" s="85" t="n"/>
      <c r="K107" s="85" t="n"/>
      <c r="L107" s="85" t="n"/>
      <c r="M107" s="89" t="n"/>
      <c r="N107" s="89" t="n"/>
      <c r="O107" s="89" t="n"/>
      <c r="P107" s="89" t="n"/>
      <c r="Q107" s="81">
        <f>SUM(M107:P107)</f>
        <v/>
      </c>
      <c r="R107" s="85" t="b">
        <v>0</v>
      </c>
      <c r="S107" s="85" t="b">
        <v>0</v>
      </c>
      <c r="T107" s="85" t="b">
        <v>0</v>
      </c>
      <c r="U107" s="85" t="b">
        <v>0</v>
      </c>
      <c r="V107" s="91" t="n"/>
      <c r="W107" s="91" t="n"/>
      <c r="X107" s="91" t="n"/>
      <c r="Y107" s="92" t="n"/>
      <c r="Z107" s="92" t="n"/>
    </row>
    <row r="108" ht="18.75" customHeight="1" s="236">
      <c r="A108" s="65" t="n">
        <v>103</v>
      </c>
      <c r="B108" s="66" t="inlineStr">
        <is>
          <t>企業103</t>
        </is>
      </c>
      <c r="C108" s="69" t="n"/>
      <c r="D108" s="69" t="n"/>
      <c r="E108" s="69" t="inlineStr">
        <is>
          <t>1. 未着手</t>
        </is>
      </c>
      <c r="F108" s="69" t="n"/>
      <c r="G108" s="69" t="n"/>
      <c r="H108" s="69" t="n"/>
      <c r="I108" s="69" t="n"/>
      <c r="J108" s="69" t="n"/>
      <c r="K108" s="69" t="n"/>
      <c r="L108" s="69" t="n"/>
      <c r="M108" s="77" t="n"/>
      <c r="N108" s="77" t="n"/>
      <c r="O108" s="77" t="n"/>
      <c r="P108" s="77" t="n"/>
      <c r="Q108" s="81">
        <f>SUM(M108:P108)</f>
        <v/>
      </c>
      <c r="R108" s="69" t="b">
        <v>0</v>
      </c>
      <c r="S108" s="69" t="b">
        <v>0</v>
      </c>
      <c r="T108" s="69" t="b">
        <v>0</v>
      </c>
      <c r="U108" s="69" t="b">
        <v>0</v>
      </c>
      <c r="V108" s="83" t="n"/>
      <c r="W108" s="83" t="n"/>
      <c r="X108" s="83" t="n"/>
      <c r="Y108" s="84" t="n"/>
      <c r="Z108" s="84" t="n"/>
    </row>
    <row r="109" ht="18.75" customHeight="1" s="236">
      <c r="A109" s="65" t="n">
        <v>104</v>
      </c>
      <c r="B109" s="66" t="inlineStr">
        <is>
          <t>企業104</t>
        </is>
      </c>
      <c r="C109" s="85" t="n"/>
      <c r="D109" s="85" t="n"/>
      <c r="E109" s="85" t="inlineStr">
        <is>
          <t>1. 未着手</t>
        </is>
      </c>
      <c r="F109" s="85" t="n"/>
      <c r="G109" s="85" t="n"/>
      <c r="H109" s="85" t="n"/>
      <c r="I109" s="85" t="n"/>
      <c r="J109" s="85" t="n"/>
      <c r="K109" s="85" t="n"/>
      <c r="L109" s="85" t="n"/>
      <c r="M109" s="89" t="n"/>
      <c r="N109" s="89" t="n"/>
      <c r="O109" s="89" t="n"/>
      <c r="P109" s="89" t="n"/>
      <c r="Q109" s="81">
        <f>SUM(M109:P109)</f>
        <v/>
      </c>
      <c r="R109" s="85" t="b">
        <v>0</v>
      </c>
      <c r="S109" s="85" t="b">
        <v>0</v>
      </c>
      <c r="T109" s="85" t="b">
        <v>0</v>
      </c>
      <c r="U109" s="85" t="b">
        <v>0</v>
      </c>
      <c r="V109" s="91" t="n"/>
      <c r="W109" s="91" t="n"/>
      <c r="X109" s="91" t="n"/>
      <c r="Y109" s="92" t="n"/>
      <c r="Z109" s="92" t="n"/>
    </row>
    <row r="110" ht="18.75" customHeight="1" s="236">
      <c r="A110" s="65" t="n">
        <v>105</v>
      </c>
      <c r="B110" s="66" t="inlineStr">
        <is>
          <t>企業105</t>
        </is>
      </c>
      <c r="C110" s="69" t="n"/>
      <c r="D110" s="69" t="n"/>
      <c r="E110" s="69" t="inlineStr">
        <is>
          <t>1. 未着手</t>
        </is>
      </c>
      <c r="F110" s="69" t="n"/>
      <c r="G110" s="69" t="n"/>
      <c r="H110" s="69" t="n"/>
      <c r="I110" s="69" t="n"/>
      <c r="J110" s="69" t="n"/>
      <c r="K110" s="69" t="n"/>
      <c r="L110" s="69" t="n"/>
      <c r="M110" s="77" t="n"/>
      <c r="N110" s="77" t="n"/>
      <c r="O110" s="77" t="n"/>
      <c r="P110" s="77" t="n"/>
      <c r="Q110" s="81">
        <f>SUM(M110:P110)</f>
        <v/>
      </c>
      <c r="R110" s="69" t="b">
        <v>0</v>
      </c>
      <c r="S110" s="69" t="b">
        <v>0</v>
      </c>
      <c r="T110" s="69" t="b">
        <v>0</v>
      </c>
      <c r="U110" s="69" t="b">
        <v>0</v>
      </c>
      <c r="V110" s="83" t="n"/>
      <c r="W110" s="83" t="n"/>
      <c r="X110" s="83" t="n"/>
      <c r="Y110" s="84" t="n"/>
      <c r="Z110" s="84" t="n"/>
    </row>
    <row r="111" ht="18.75" customHeight="1" s="236">
      <c r="A111" s="65" t="n">
        <v>106</v>
      </c>
      <c r="B111" s="66" t="inlineStr">
        <is>
          <t>企業106</t>
        </is>
      </c>
      <c r="C111" s="85" t="n"/>
      <c r="D111" s="85" t="n"/>
      <c r="E111" s="85" t="inlineStr">
        <is>
          <t>1. 未着手</t>
        </is>
      </c>
      <c r="F111" s="85" t="n"/>
      <c r="G111" s="85" t="n"/>
      <c r="H111" s="85" t="n"/>
      <c r="I111" s="85" t="n"/>
      <c r="J111" s="85" t="n"/>
      <c r="K111" s="85" t="n"/>
      <c r="L111" s="85" t="n"/>
      <c r="M111" s="89" t="n"/>
      <c r="N111" s="89" t="n"/>
      <c r="O111" s="89" t="n"/>
      <c r="P111" s="89" t="n"/>
      <c r="Q111" s="81">
        <f>SUM(M111:P111)</f>
        <v/>
      </c>
      <c r="R111" s="85" t="b">
        <v>0</v>
      </c>
      <c r="S111" s="85" t="b">
        <v>0</v>
      </c>
      <c r="T111" s="85" t="b">
        <v>0</v>
      </c>
      <c r="U111" s="85" t="b">
        <v>0</v>
      </c>
      <c r="V111" s="91" t="n"/>
      <c r="W111" s="91" t="n"/>
      <c r="X111" s="91" t="n"/>
      <c r="Y111" s="92" t="n"/>
      <c r="Z111" s="92" t="n"/>
    </row>
    <row r="112" ht="18.75" customHeight="1" s="236">
      <c r="A112" s="65" t="n">
        <v>107</v>
      </c>
      <c r="B112" s="66" t="inlineStr">
        <is>
          <t>企業107</t>
        </is>
      </c>
      <c r="C112" s="69" t="n"/>
      <c r="D112" s="69" t="n"/>
      <c r="E112" s="69" t="inlineStr">
        <is>
          <t>1. 未着手</t>
        </is>
      </c>
      <c r="F112" s="69" t="n"/>
      <c r="G112" s="69" t="n"/>
      <c r="H112" s="69" t="n"/>
      <c r="I112" s="69" t="n"/>
      <c r="J112" s="69" t="n"/>
      <c r="K112" s="69" t="n"/>
      <c r="L112" s="69" t="n"/>
      <c r="M112" s="77" t="n"/>
      <c r="N112" s="77" t="n"/>
      <c r="O112" s="77" t="n"/>
      <c r="P112" s="77" t="n"/>
      <c r="Q112" s="81">
        <f>SUM(M112:P112)</f>
        <v/>
      </c>
      <c r="R112" s="69" t="b">
        <v>0</v>
      </c>
      <c r="S112" s="69" t="b">
        <v>0</v>
      </c>
      <c r="T112" s="69" t="b">
        <v>0</v>
      </c>
      <c r="U112" s="69" t="b">
        <v>0</v>
      </c>
      <c r="V112" s="83" t="n"/>
      <c r="W112" s="83" t="n"/>
      <c r="X112" s="83" t="n"/>
      <c r="Y112" s="84" t="n"/>
      <c r="Z112" s="84" t="n"/>
    </row>
    <row r="113" ht="18.75" customHeight="1" s="236">
      <c r="A113" s="65" t="n">
        <v>108</v>
      </c>
      <c r="B113" s="66" t="inlineStr">
        <is>
          <t>企業108</t>
        </is>
      </c>
      <c r="C113" s="85" t="n"/>
      <c r="D113" s="85" t="n"/>
      <c r="E113" s="85" t="inlineStr">
        <is>
          <t>1. 未着手</t>
        </is>
      </c>
      <c r="F113" s="85" t="n"/>
      <c r="G113" s="85" t="n"/>
      <c r="H113" s="85" t="n"/>
      <c r="I113" s="85" t="n"/>
      <c r="J113" s="85" t="n"/>
      <c r="K113" s="85" t="n"/>
      <c r="L113" s="85" t="n"/>
      <c r="M113" s="89" t="n"/>
      <c r="N113" s="89" t="n"/>
      <c r="O113" s="89" t="n"/>
      <c r="P113" s="89" t="n"/>
      <c r="Q113" s="81">
        <f>SUM(M113:P113)</f>
        <v/>
      </c>
      <c r="R113" s="85" t="b">
        <v>0</v>
      </c>
      <c r="S113" s="85" t="b">
        <v>0</v>
      </c>
      <c r="T113" s="85" t="b">
        <v>0</v>
      </c>
      <c r="U113" s="85" t="b">
        <v>0</v>
      </c>
      <c r="V113" s="91" t="n"/>
      <c r="W113" s="91" t="n"/>
      <c r="X113" s="91" t="n"/>
      <c r="Y113" s="92" t="n"/>
      <c r="Z113" s="92" t="n"/>
    </row>
    <row r="114" ht="18.75" customHeight="1" s="236">
      <c r="A114" s="65" t="n">
        <v>109</v>
      </c>
      <c r="B114" s="66" t="inlineStr">
        <is>
          <t>企業109</t>
        </is>
      </c>
      <c r="C114" s="69" t="n"/>
      <c r="D114" s="69" t="n"/>
      <c r="E114" s="69" t="inlineStr">
        <is>
          <t>1. 未着手</t>
        </is>
      </c>
      <c r="F114" s="69" t="n"/>
      <c r="G114" s="69" t="n"/>
      <c r="H114" s="69" t="n"/>
      <c r="I114" s="69" t="n"/>
      <c r="J114" s="69" t="n"/>
      <c r="K114" s="69" t="n"/>
      <c r="L114" s="69" t="n"/>
      <c r="M114" s="77" t="n"/>
      <c r="N114" s="77" t="n"/>
      <c r="O114" s="77" t="n"/>
      <c r="P114" s="77" t="n"/>
      <c r="Q114" s="81">
        <f>SUM(M114:P114)</f>
        <v/>
      </c>
      <c r="R114" s="69" t="b">
        <v>0</v>
      </c>
      <c r="S114" s="69" t="b">
        <v>0</v>
      </c>
      <c r="T114" s="69" t="b">
        <v>0</v>
      </c>
      <c r="U114" s="69" t="b">
        <v>0</v>
      </c>
      <c r="V114" s="83" t="n"/>
      <c r="W114" s="83" t="n"/>
      <c r="X114" s="83" t="n"/>
      <c r="Y114" s="84" t="n"/>
      <c r="Z114" s="84" t="n"/>
    </row>
    <row r="115" ht="18.75" customHeight="1" s="236">
      <c r="A115" s="65" t="n">
        <v>110</v>
      </c>
      <c r="B115" s="66" t="inlineStr">
        <is>
          <t>企業110</t>
        </is>
      </c>
      <c r="C115" s="85" t="n"/>
      <c r="D115" s="85" t="n"/>
      <c r="E115" s="85" t="inlineStr">
        <is>
          <t>1. 未着手</t>
        </is>
      </c>
      <c r="F115" s="85" t="n"/>
      <c r="G115" s="85" t="n"/>
      <c r="H115" s="85" t="n"/>
      <c r="I115" s="85" t="n"/>
      <c r="J115" s="85" t="n"/>
      <c r="K115" s="85" t="n"/>
      <c r="L115" s="85" t="n"/>
      <c r="M115" s="89" t="n"/>
      <c r="N115" s="89" t="n"/>
      <c r="O115" s="89" t="n"/>
      <c r="P115" s="89" t="n"/>
      <c r="Q115" s="81">
        <f>SUM(M115:P115)</f>
        <v/>
      </c>
      <c r="R115" s="85" t="b">
        <v>0</v>
      </c>
      <c r="S115" s="85" t="b">
        <v>0</v>
      </c>
      <c r="T115" s="85" t="b">
        <v>0</v>
      </c>
      <c r="U115" s="85" t="b">
        <v>0</v>
      </c>
      <c r="V115" s="91" t="n"/>
      <c r="W115" s="91" t="n"/>
      <c r="X115" s="91" t="n"/>
      <c r="Y115" s="92" t="n"/>
      <c r="Z115" s="92" t="n"/>
    </row>
    <row r="116" ht="15.75" customHeight="1" s="236"/>
    <row r="117" ht="15.75" customHeight="1" s="236"/>
    <row r="118" ht="15.75" customHeight="1" s="236"/>
    <row r="119" ht="15.75" customHeight="1" s="236"/>
    <row r="120" ht="15.75" customHeight="1" s="236"/>
    <row r="121" ht="15.75" customHeight="1" s="236"/>
    <row r="122" ht="15.75" customHeight="1" s="236"/>
    <row r="123" ht="15.75" customHeight="1" s="236"/>
    <row r="124" ht="15.75" customHeight="1" s="236"/>
    <row r="125" ht="15.75" customHeight="1" s="236"/>
    <row r="126" ht="15.75" customHeight="1" s="236"/>
    <row r="127" ht="15.75" customHeight="1" s="236"/>
    <row r="128" ht="15.75" customHeight="1" s="236"/>
    <row r="129" ht="15.75" customHeight="1" s="236"/>
    <row r="130" ht="15.75" customHeight="1" s="236"/>
    <row r="131" ht="15.75" customHeight="1" s="236"/>
    <row r="132" ht="15.75" customHeight="1" s="236"/>
    <row r="133" ht="15.75" customHeight="1" s="236"/>
    <row r="134" ht="15.75" customHeight="1" s="236"/>
    <row r="135" ht="15.75" customHeight="1" s="236"/>
    <row r="136" ht="15.75" customHeight="1" s="236"/>
    <row r="137" ht="15.75" customHeight="1" s="236"/>
    <row r="138" ht="15.75" customHeight="1" s="236"/>
    <row r="139" ht="15.75" customHeight="1" s="236"/>
    <row r="140" ht="15.75" customHeight="1" s="236"/>
    <row r="141" ht="15.75" customHeight="1" s="236"/>
    <row r="142" ht="15.75" customHeight="1" s="236"/>
    <row r="143" ht="15.75" customHeight="1" s="236"/>
    <row r="144" ht="15.75" customHeight="1" s="236"/>
    <row r="145" ht="15.75" customHeight="1" s="236"/>
    <row r="146" ht="15.75" customHeight="1" s="236"/>
    <row r="147" ht="15.75" customHeight="1" s="236"/>
    <row r="148" ht="15.75" customHeight="1" s="236"/>
    <row r="149" ht="15.75" customHeight="1" s="236"/>
    <row r="150" ht="15.75" customHeight="1" s="236"/>
    <row r="151" ht="15.75" customHeight="1" s="236"/>
    <row r="152" ht="15.75" customHeight="1" s="236"/>
    <row r="153" ht="15.75" customHeight="1" s="236"/>
    <row r="154" ht="15.75" customHeight="1" s="236"/>
    <row r="155" ht="15.75" customHeight="1" s="236"/>
    <row r="156" ht="15.75" customHeight="1" s="236"/>
    <row r="157" ht="15.75" customHeight="1" s="236"/>
    <row r="158" ht="15.75" customHeight="1" s="236"/>
    <row r="159" ht="15.75" customHeight="1" s="236"/>
    <row r="160" ht="15.75" customHeight="1" s="236"/>
    <row r="161" ht="15.75" customHeight="1" s="236"/>
    <row r="162" ht="15.75" customHeight="1" s="236"/>
    <row r="163" ht="15.75" customHeight="1" s="236"/>
    <row r="164" ht="15.75" customHeight="1" s="236"/>
    <row r="165" ht="15.75" customHeight="1" s="236"/>
    <row r="166" ht="15.75" customHeight="1" s="236"/>
    <row r="167" ht="15.75" customHeight="1" s="236"/>
    <row r="168" ht="15.75" customHeight="1" s="236"/>
    <row r="169" ht="15.75" customHeight="1" s="236"/>
    <row r="170" ht="15.75" customHeight="1" s="236"/>
    <row r="171" ht="15.75" customHeight="1" s="236"/>
    <row r="172" ht="15.75" customHeight="1" s="236"/>
    <row r="173" ht="15.75" customHeight="1" s="236"/>
    <row r="174" ht="15.75" customHeight="1" s="236"/>
    <row r="175" ht="15.75" customHeight="1" s="236"/>
    <row r="176" ht="15.75" customHeight="1" s="236"/>
    <row r="177" ht="15.75" customHeight="1" s="236"/>
    <row r="178" ht="15.75" customHeight="1" s="236"/>
    <row r="179" ht="15.75" customHeight="1" s="236"/>
    <row r="180" ht="15.75" customHeight="1" s="236"/>
    <row r="181" ht="15.75" customHeight="1" s="236"/>
    <row r="182" ht="15.75" customHeight="1" s="236"/>
    <row r="183" ht="15.75" customHeight="1" s="236"/>
    <row r="184" ht="15.75" customHeight="1" s="236"/>
    <row r="185" ht="15.75" customHeight="1" s="236"/>
    <row r="186" ht="15.75" customHeight="1" s="236"/>
    <row r="187" ht="15.75" customHeight="1" s="236"/>
    <row r="188" ht="15.75" customHeight="1" s="236"/>
    <row r="189" ht="15.75" customHeight="1" s="236"/>
    <row r="190" ht="15.75" customHeight="1" s="236"/>
    <row r="191" ht="15.75" customHeight="1" s="236"/>
    <row r="192" ht="15.75" customHeight="1" s="236"/>
    <row r="193" ht="15.75" customHeight="1" s="236"/>
    <row r="194" ht="15.75" customHeight="1" s="236"/>
    <row r="195" ht="15.75" customHeight="1" s="236"/>
    <row r="196" ht="15.75" customHeight="1" s="236"/>
    <row r="197" ht="15.75" customHeight="1" s="236"/>
    <row r="198" ht="15.75" customHeight="1" s="236"/>
    <row r="199" ht="15.75" customHeight="1" s="236"/>
    <row r="200" ht="15.75" customHeight="1" s="236"/>
    <row r="201" ht="15.75" customHeight="1" s="236"/>
    <row r="202" ht="15.75" customHeight="1" s="236"/>
    <row r="203" ht="15.75" customHeight="1" s="236"/>
    <row r="204" ht="15.75" customHeight="1" s="236"/>
    <row r="205" ht="15.75" customHeight="1" s="236"/>
    <row r="206" ht="15.75" customHeight="1" s="236"/>
    <row r="207" ht="15.75" customHeight="1" s="236"/>
    <row r="208" ht="15.75" customHeight="1" s="236"/>
    <row r="209" ht="15.75" customHeight="1" s="236"/>
    <row r="210" ht="15.75" customHeight="1" s="236"/>
    <row r="211" ht="15.75" customHeight="1" s="236"/>
    <row r="212" ht="15.75" customHeight="1" s="236"/>
    <row r="213" ht="15.75" customHeight="1" s="236"/>
    <row r="214" ht="15.75" customHeight="1" s="236"/>
    <row r="215" ht="15.75" customHeight="1" s="236"/>
    <row r="216" ht="15.75" customHeight="1" s="236"/>
    <row r="217" ht="15.75" customHeight="1" s="236"/>
    <row r="218" ht="15.75" customHeight="1" s="236"/>
    <row r="219" ht="15.75" customHeight="1" s="236"/>
    <row r="220" ht="15.75" customHeight="1" s="236"/>
    <row r="221" ht="15.75" customHeight="1" s="236"/>
    <row r="222" ht="15.75" customHeight="1" s="236"/>
    <row r="223" ht="15.75" customHeight="1" s="236"/>
    <row r="224" ht="15.75" customHeight="1" s="236"/>
    <row r="225" ht="15.75" customHeight="1" s="236"/>
    <row r="226" ht="15.75" customHeight="1" s="236"/>
    <row r="227" ht="15.75" customHeight="1" s="236"/>
    <row r="228" ht="15.75" customHeight="1" s="236"/>
    <row r="229" ht="15.75" customHeight="1" s="236"/>
    <row r="230" ht="15.75" customHeight="1" s="236"/>
    <row r="231" ht="15.75" customHeight="1" s="236"/>
    <row r="232" ht="15.75" customHeight="1" s="236"/>
    <row r="233" ht="15.75" customHeight="1" s="236"/>
    <row r="234" ht="15.75" customHeight="1" s="236"/>
    <row r="235" ht="15.75" customHeight="1" s="236"/>
    <row r="236" ht="15.75" customHeight="1" s="236"/>
    <row r="237" ht="15.75" customHeight="1" s="236"/>
    <row r="238" ht="15.75" customHeight="1" s="236"/>
    <row r="239" ht="15.75" customHeight="1" s="236"/>
    <row r="240" ht="15.75" customHeight="1" s="236"/>
    <row r="241" ht="15.75" customHeight="1" s="236"/>
    <row r="242" ht="15.75" customHeight="1" s="236"/>
    <row r="243" ht="15.75" customHeight="1" s="236"/>
    <row r="244" ht="15.75" customHeight="1" s="236"/>
    <row r="245" ht="15.75" customHeight="1" s="236"/>
    <row r="246" ht="15.75" customHeight="1" s="236"/>
    <row r="247" ht="15.75" customHeight="1" s="236"/>
    <row r="248" ht="15.75" customHeight="1" s="236"/>
    <row r="249" ht="15.75" customHeight="1" s="236"/>
    <row r="250" ht="15.75" customHeight="1" s="236"/>
    <row r="251" ht="15.75" customHeight="1" s="236"/>
    <row r="252" ht="15.75" customHeight="1" s="236"/>
    <row r="253" ht="15.75" customHeight="1" s="236"/>
    <row r="254" ht="15.75" customHeight="1" s="236"/>
    <row r="255" ht="15.75" customHeight="1" s="236"/>
    <row r="256" ht="15.75" customHeight="1" s="236"/>
    <row r="257" ht="15.75" customHeight="1" s="236"/>
    <row r="258" ht="15.75" customHeight="1" s="236"/>
    <row r="259" ht="15.75" customHeight="1" s="236"/>
    <row r="260" ht="15.75" customHeight="1" s="236"/>
    <row r="261" ht="15.75" customHeight="1" s="236"/>
    <row r="262" ht="15.75" customHeight="1" s="236"/>
    <row r="263" ht="15.75" customHeight="1" s="236"/>
    <row r="264" ht="15.75" customHeight="1" s="236"/>
    <row r="265" ht="15.75" customHeight="1" s="236"/>
    <row r="266" ht="15.75" customHeight="1" s="236"/>
    <row r="267" ht="15.75" customHeight="1" s="236"/>
    <row r="268" ht="15.75" customHeight="1" s="236"/>
    <row r="269" ht="15.75" customHeight="1" s="236"/>
    <row r="270" ht="15.75" customHeight="1" s="236"/>
    <row r="271" ht="15.75" customHeight="1" s="236"/>
    <row r="272" ht="15.75" customHeight="1" s="236"/>
    <row r="273" ht="15.75" customHeight="1" s="236"/>
    <row r="274" ht="15.75" customHeight="1" s="236"/>
    <row r="275" ht="15.75" customHeight="1" s="236"/>
    <row r="276" ht="15.75" customHeight="1" s="236"/>
    <row r="277" ht="15.75" customHeight="1" s="236"/>
    <row r="278" ht="15.75" customHeight="1" s="236"/>
    <row r="279" ht="15.75" customHeight="1" s="236"/>
    <row r="280" ht="15.75" customHeight="1" s="236"/>
    <row r="281" ht="15.75" customHeight="1" s="236"/>
    <row r="282" ht="15.75" customHeight="1" s="236"/>
    <row r="283" ht="15.75" customHeight="1" s="236"/>
    <row r="284" ht="15.75" customHeight="1" s="236"/>
    <row r="285" ht="15.75" customHeight="1" s="236"/>
    <row r="286" ht="15.75" customHeight="1" s="236"/>
    <row r="287" ht="15.75" customHeight="1" s="236"/>
    <row r="288" ht="15.75" customHeight="1" s="236"/>
    <row r="289" ht="15.75" customHeight="1" s="236"/>
    <row r="290" ht="15.75" customHeight="1" s="236"/>
    <row r="291" ht="15.75" customHeight="1" s="236"/>
    <row r="292" ht="15.75" customHeight="1" s="236"/>
    <row r="293" ht="15.75" customHeight="1" s="236"/>
    <row r="294" ht="15.75" customHeight="1" s="236"/>
    <row r="295" ht="15.75" customHeight="1" s="236"/>
    <row r="296" ht="15.75" customHeight="1" s="236"/>
    <row r="297" ht="15.75" customHeight="1" s="236"/>
    <row r="298" ht="15.75" customHeight="1" s="236"/>
    <row r="299" ht="15.75" customHeight="1" s="236"/>
    <row r="300" ht="15.75" customHeight="1" s="236"/>
    <row r="301" ht="15.75" customHeight="1" s="236"/>
    <row r="302" ht="15.75" customHeight="1" s="236"/>
    <row r="303" ht="15.75" customHeight="1" s="236"/>
    <row r="304" ht="15.75" customHeight="1" s="236"/>
    <row r="305" ht="15.75" customHeight="1" s="236"/>
    <row r="306" ht="15.75" customHeight="1" s="236"/>
    <row r="307" ht="15.75" customHeight="1" s="236"/>
    <row r="308" ht="15.75" customHeight="1" s="236"/>
    <row r="309" ht="15.75" customHeight="1" s="236"/>
    <row r="310" ht="15.75" customHeight="1" s="236"/>
    <row r="311" ht="15.75" customHeight="1" s="236"/>
    <row r="312" ht="15.75" customHeight="1" s="236"/>
    <row r="313" ht="15.75" customHeight="1" s="236"/>
    <row r="314" ht="15.75" customHeight="1" s="236"/>
    <row r="315" ht="15.75" customHeight="1" s="236"/>
    <row r="316" ht="15.75" customHeight="1" s="236"/>
    <row r="317" ht="15.75" customHeight="1" s="236"/>
    <row r="318" ht="15.75" customHeight="1" s="236"/>
    <row r="319" ht="15.75" customHeight="1" s="236"/>
    <row r="320" ht="15.75" customHeight="1" s="236"/>
    <row r="321" ht="15.75" customHeight="1" s="236"/>
    <row r="322" ht="15.75" customHeight="1" s="236"/>
    <row r="323" ht="15.75" customHeight="1" s="236"/>
    <row r="324" ht="15.75" customHeight="1" s="236"/>
    <row r="325" ht="15.75" customHeight="1" s="236"/>
    <row r="326" ht="15.75" customHeight="1" s="236"/>
    <row r="327" ht="15.75" customHeight="1" s="236"/>
    <row r="328" ht="15.75" customHeight="1" s="236"/>
    <row r="329" ht="15.75" customHeight="1" s="236"/>
    <row r="330" ht="15.75" customHeight="1" s="236"/>
    <row r="331" ht="15.75" customHeight="1" s="236"/>
    <row r="332" ht="15.75" customHeight="1" s="236"/>
    <row r="333" ht="15.75" customHeight="1" s="236"/>
    <row r="334" ht="15.75" customHeight="1" s="236"/>
    <row r="335" ht="15.75" customHeight="1" s="236"/>
    <row r="336" ht="15.75" customHeight="1" s="236"/>
    <row r="337" ht="15.75" customHeight="1" s="236"/>
    <row r="338" ht="15.75" customHeight="1" s="236"/>
    <row r="339" ht="15.75" customHeight="1" s="236"/>
    <row r="340" ht="15.75" customHeight="1" s="236"/>
    <row r="341" ht="15.75" customHeight="1" s="236"/>
    <row r="342" ht="15.75" customHeight="1" s="236"/>
    <row r="343" ht="15.75" customHeight="1" s="236"/>
    <row r="344" ht="15.75" customHeight="1" s="236"/>
    <row r="345" ht="15.75" customHeight="1" s="236"/>
    <row r="346" ht="15.75" customHeight="1" s="236"/>
    <row r="347" ht="15.75" customHeight="1" s="236"/>
    <row r="348" ht="15.75" customHeight="1" s="236"/>
    <row r="349" ht="15.75" customHeight="1" s="236"/>
    <row r="350" ht="15.75" customHeight="1" s="236"/>
    <row r="351" ht="15.75" customHeight="1" s="236"/>
    <row r="352" ht="15.75" customHeight="1" s="236"/>
    <row r="353" ht="15.75" customHeight="1" s="236"/>
    <row r="354" ht="15.75" customHeight="1" s="236"/>
    <row r="355" ht="15.75" customHeight="1" s="236"/>
    <row r="356" ht="15.75" customHeight="1" s="236"/>
    <row r="357" ht="15.75" customHeight="1" s="236"/>
    <row r="358" ht="15.75" customHeight="1" s="236"/>
    <row r="359" ht="15.75" customHeight="1" s="236"/>
    <row r="360" ht="15.75" customHeight="1" s="236"/>
    <row r="361" ht="15.75" customHeight="1" s="236"/>
    <row r="362" ht="15.75" customHeight="1" s="236"/>
    <row r="363" ht="15.75" customHeight="1" s="236"/>
    <row r="364" ht="15.75" customHeight="1" s="236"/>
    <row r="365" ht="15.75" customHeight="1" s="236"/>
    <row r="366" ht="15.75" customHeight="1" s="236"/>
    <row r="367" ht="15.75" customHeight="1" s="236"/>
    <row r="368" ht="15.75" customHeight="1" s="236"/>
    <row r="369" ht="15.75" customHeight="1" s="236"/>
    <row r="370" ht="15.75" customHeight="1" s="236"/>
    <row r="371" ht="15.75" customHeight="1" s="236"/>
    <row r="372" ht="15.75" customHeight="1" s="236"/>
    <row r="373" ht="15.75" customHeight="1" s="236"/>
    <row r="374" ht="15.75" customHeight="1" s="236"/>
    <row r="375" ht="15.75" customHeight="1" s="236"/>
    <row r="376" ht="15.75" customHeight="1" s="236"/>
    <row r="377" ht="15.75" customHeight="1" s="236"/>
    <row r="378" ht="15.75" customHeight="1" s="236"/>
    <row r="379" ht="15.75" customHeight="1" s="236"/>
    <row r="380" ht="15.75" customHeight="1" s="236"/>
    <row r="381" ht="15.75" customHeight="1" s="236"/>
    <row r="382" ht="15.75" customHeight="1" s="236"/>
    <row r="383" ht="15.75" customHeight="1" s="236"/>
    <row r="384" ht="15.75" customHeight="1" s="236"/>
    <row r="385" ht="15.75" customHeight="1" s="236"/>
    <row r="386" ht="15.75" customHeight="1" s="236"/>
    <row r="387" ht="15.75" customHeight="1" s="236"/>
    <row r="388" ht="15.75" customHeight="1" s="236"/>
    <row r="389" ht="15.75" customHeight="1" s="236"/>
    <row r="390" ht="15.75" customHeight="1" s="236"/>
    <row r="391" ht="15.75" customHeight="1" s="236"/>
    <row r="392" ht="15.75" customHeight="1" s="236"/>
    <row r="393" ht="15.75" customHeight="1" s="236"/>
    <row r="394" ht="15.75" customHeight="1" s="236"/>
    <row r="395" ht="15.75" customHeight="1" s="236"/>
    <row r="396" ht="15.75" customHeight="1" s="236"/>
    <row r="397" ht="15.75" customHeight="1" s="236"/>
    <row r="398" ht="15.75" customHeight="1" s="236"/>
    <row r="399" ht="15.75" customHeight="1" s="236"/>
    <row r="400" ht="15.75" customHeight="1" s="236"/>
    <row r="401" ht="15.75" customHeight="1" s="236"/>
    <row r="402" ht="15.75" customHeight="1" s="236"/>
    <row r="403" ht="15.75" customHeight="1" s="236"/>
    <row r="404" ht="15.75" customHeight="1" s="236"/>
    <row r="405" ht="15.75" customHeight="1" s="236"/>
    <row r="406" ht="15.75" customHeight="1" s="236"/>
    <row r="407" ht="15.75" customHeight="1" s="236"/>
    <row r="408" ht="15.75" customHeight="1" s="236"/>
    <row r="409" ht="15.75" customHeight="1" s="236"/>
    <row r="410" ht="15.75" customHeight="1" s="236"/>
    <row r="411" ht="15.75" customHeight="1" s="236"/>
    <row r="412" ht="15.75" customHeight="1" s="236"/>
    <row r="413" ht="15.75" customHeight="1" s="236"/>
    <row r="414" ht="15.75" customHeight="1" s="236"/>
    <row r="415" ht="15.75" customHeight="1" s="236"/>
    <row r="416" ht="15.75" customHeight="1" s="236"/>
    <row r="417" ht="15.75" customHeight="1" s="236"/>
    <row r="418" ht="15.75" customHeight="1" s="236"/>
    <row r="419" ht="15.75" customHeight="1" s="236"/>
    <row r="420" ht="15.75" customHeight="1" s="236"/>
    <row r="421" ht="15.75" customHeight="1" s="236"/>
    <row r="422" ht="15.75" customHeight="1" s="236"/>
    <row r="423" ht="15.75" customHeight="1" s="236"/>
    <row r="424" ht="15.75" customHeight="1" s="236"/>
    <row r="425" ht="15.75" customHeight="1" s="236"/>
    <row r="426" ht="15.75" customHeight="1" s="236"/>
    <row r="427" ht="15.75" customHeight="1" s="236"/>
    <row r="428" ht="15.75" customHeight="1" s="236"/>
    <row r="429" ht="15.75" customHeight="1" s="236"/>
    <row r="430" ht="15.75" customHeight="1" s="236"/>
    <row r="431" ht="15.75" customHeight="1" s="236"/>
    <row r="432" ht="15.75" customHeight="1" s="236"/>
    <row r="433" ht="15.75" customHeight="1" s="236"/>
    <row r="434" ht="15.75" customHeight="1" s="236"/>
    <row r="435" ht="15.75" customHeight="1" s="236"/>
    <row r="436" ht="15.75" customHeight="1" s="236"/>
    <row r="437" ht="15.75" customHeight="1" s="236"/>
    <row r="438" ht="15.75" customHeight="1" s="236"/>
    <row r="439" ht="15.75" customHeight="1" s="236"/>
    <row r="440" ht="15.75" customHeight="1" s="236"/>
    <row r="441" ht="15.75" customHeight="1" s="236"/>
    <row r="442" ht="15.75" customHeight="1" s="236"/>
    <row r="443" ht="15.75" customHeight="1" s="236"/>
    <row r="444" ht="15.75" customHeight="1" s="236"/>
    <row r="445" ht="15.75" customHeight="1" s="236"/>
    <row r="446" ht="15.75" customHeight="1" s="236"/>
    <row r="447" ht="15.75" customHeight="1" s="236"/>
    <row r="448" ht="15.75" customHeight="1" s="236"/>
    <row r="449" ht="15.75" customHeight="1" s="236"/>
    <row r="450" ht="15.75" customHeight="1" s="236"/>
    <row r="451" ht="15.75" customHeight="1" s="236"/>
    <row r="452" ht="15.75" customHeight="1" s="236"/>
    <row r="453" ht="15.75" customHeight="1" s="236"/>
    <row r="454" ht="15.75" customHeight="1" s="236"/>
    <row r="455" ht="15.75" customHeight="1" s="236"/>
    <row r="456" ht="15.75" customHeight="1" s="236"/>
    <row r="457" ht="15.75" customHeight="1" s="236"/>
    <row r="458" ht="15.75" customHeight="1" s="236"/>
    <row r="459" ht="15.75" customHeight="1" s="236"/>
    <row r="460" ht="15.75" customHeight="1" s="236"/>
    <row r="461" ht="15.75" customHeight="1" s="236"/>
    <row r="462" ht="15.75" customHeight="1" s="236"/>
    <row r="463" ht="15.75" customHeight="1" s="236"/>
    <row r="464" ht="15.75" customHeight="1" s="236"/>
    <row r="465" ht="15.75" customHeight="1" s="236"/>
    <row r="466" ht="15.75" customHeight="1" s="236"/>
    <row r="467" ht="15.75" customHeight="1" s="236"/>
    <row r="468" ht="15.75" customHeight="1" s="236"/>
    <row r="469" ht="15.75" customHeight="1" s="236"/>
    <row r="470" ht="15.75" customHeight="1" s="236"/>
    <row r="471" ht="15.75" customHeight="1" s="236"/>
    <row r="472" ht="15.75" customHeight="1" s="236"/>
    <row r="473" ht="15.75" customHeight="1" s="236"/>
    <row r="474" ht="15.75" customHeight="1" s="236"/>
    <row r="475" ht="15.75" customHeight="1" s="236"/>
    <row r="476" ht="15.75" customHeight="1" s="236"/>
    <row r="477" ht="15.75" customHeight="1" s="236"/>
    <row r="478" ht="15.75" customHeight="1" s="236"/>
    <row r="479" ht="15.75" customHeight="1" s="236"/>
    <row r="480" ht="15.75" customHeight="1" s="236"/>
    <row r="481" ht="15.75" customHeight="1" s="236"/>
    <row r="482" ht="15.75" customHeight="1" s="236"/>
    <row r="483" ht="15.75" customHeight="1" s="236"/>
    <row r="484" ht="15.75" customHeight="1" s="236"/>
    <row r="485" ht="15.75" customHeight="1" s="236"/>
    <row r="486" ht="15.75" customHeight="1" s="236"/>
    <row r="487" ht="15.75" customHeight="1" s="236"/>
    <row r="488" ht="15.75" customHeight="1" s="236"/>
    <row r="489" ht="15.75" customHeight="1" s="236"/>
    <row r="490" ht="15.75" customHeight="1" s="236"/>
    <row r="491" ht="15.75" customHeight="1" s="236"/>
    <row r="492" ht="15.75" customHeight="1" s="236"/>
    <row r="493" ht="15.75" customHeight="1" s="236"/>
    <row r="494" ht="15.75" customHeight="1" s="236"/>
    <row r="495" ht="15.75" customHeight="1" s="236"/>
    <row r="496" ht="15.75" customHeight="1" s="236"/>
    <row r="497" ht="15.75" customHeight="1" s="236"/>
    <row r="498" ht="15.75" customHeight="1" s="236"/>
    <row r="499" ht="15.75" customHeight="1" s="236"/>
    <row r="500" ht="15.75" customHeight="1" s="236"/>
    <row r="501" ht="15.75" customHeight="1" s="236"/>
    <row r="502" ht="15.75" customHeight="1" s="236"/>
    <row r="503" ht="15.75" customHeight="1" s="236"/>
    <row r="504" ht="15.75" customHeight="1" s="236"/>
    <row r="505" ht="15.75" customHeight="1" s="236"/>
    <row r="506" ht="15.75" customHeight="1" s="236"/>
    <row r="507" ht="15.75" customHeight="1" s="236"/>
    <row r="508" ht="15.75" customHeight="1" s="236"/>
    <row r="509" ht="15.75" customHeight="1" s="236"/>
    <row r="510" ht="15.75" customHeight="1" s="236"/>
    <row r="511" ht="15.75" customHeight="1" s="236"/>
    <row r="512" ht="15.75" customHeight="1" s="236"/>
    <row r="513" ht="15.75" customHeight="1" s="236"/>
    <row r="514" ht="15.75" customHeight="1" s="236"/>
    <row r="515" ht="15.75" customHeight="1" s="236"/>
    <row r="516" ht="15.75" customHeight="1" s="236"/>
    <row r="517" ht="15.75" customHeight="1" s="236"/>
    <row r="518" ht="15.75" customHeight="1" s="236"/>
    <row r="519" ht="15.75" customHeight="1" s="236"/>
    <row r="520" ht="15.75" customHeight="1" s="236"/>
    <row r="521" ht="15.75" customHeight="1" s="236"/>
    <row r="522" ht="15.75" customHeight="1" s="236"/>
    <row r="523" ht="15.75" customHeight="1" s="236"/>
    <row r="524" ht="15.75" customHeight="1" s="236"/>
    <row r="525" ht="15.75" customHeight="1" s="236"/>
    <row r="526" ht="15.75" customHeight="1" s="236"/>
    <row r="527" ht="15.75" customHeight="1" s="236"/>
    <row r="528" ht="15.75" customHeight="1" s="236"/>
    <row r="529" ht="15.75" customHeight="1" s="236"/>
    <row r="530" ht="15.75" customHeight="1" s="236"/>
    <row r="531" ht="15.75" customHeight="1" s="236"/>
    <row r="532" ht="15.75" customHeight="1" s="236"/>
    <row r="533" ht="15.75" customHeight="1" s="236"/>
    <row r="534" ht="15.75" customHeight="1" s="236"/>
    <row r="535" ht="15.75" customHeight="1" s="236"/>
    <row r="536" ht="15.75" customHeight="1" s="236"/>
    <row r="537" ht="15.75" customHeight="1" s="236"/>
    <row r="538" ht="15.75" customHeight="1" s="236"/>
    <row r="539" ht="15.75" customHeight="1" s="236"/>
    <row r="540" ht="15.75" customHeight="1" s="236"/>
    <row r="541" ht="15.75" customHeight="1" s="236"/>
    <row r="542" ht="15.75" customHeight="1" s="236"/>
    <row r="543" ht="15.75" customHeight="1" s="236"/>
    <row r="544" ht="15.75" customHeight="1" s="236"/>
    <row r="545" ht="15.75" customHeight="1" s="236"/>
    <row r="546" ht="15.75" customHeight="1" s="236"/>
    <row r="547" ht="15.75" customHeight="1" s="236"/>
    <row r="548" ht="15.75" customHeight="1" s="236"/>
    <row r="549" ht="15.75" customHeight="1" s="236"/>
    <row r="550" ht="15.75" customHeight="1" s="236"/>
    <row r="551" ht="15.75" customHeight="1" s="236"/>
    <row r="552" ht="15.75" customHeight="1" s="236"/>
    <row r="553" ht="15.75" customHeight="1" s="236"/>
    <row r="554" ht="15.75" customHeight="1" s="236"/>
    <row r="555" ht="15.75" customHeight="1" s="236"/>
    <row r="556" ht="15.75" customHeight="1" s="236"/>
    <row r="557" ht="15.75" customHeight="1" s="236"/>
    <row r="558" ht="15.75" customHeight="1" s="236"/>
    <row r="559" ht="15.75" customHeight="1" s="236"/>
    <row r="560" ht="15.75" customHeight="1" s="236"/>
    <row r="561" ht="15.75" customHeight="1" s="236"/>
    <row r="562" ht="15.75" customHeight="1" s="236"/>
    <row r="563" ht="15.75" customHeight="1" s="236"/>
    <row r="564" ht="15.75" customHeight="1" s="236"/>
    <row r="565" ht="15.75" customHeight="1" s="236"/>
    <row r="566" ht="15.75" customHeight="1" s="236"/>
    <row r="567" ht="15.75" customHeight="1" s="236"/>
    <row r="568" ht="15.75" customHeight="1" s="236"/>
    <row r="569" ht="15.75" customHeight="1" s="236"/>
    <row r="570" ht="15.75" customHeight="1" s="236"/>
    <row r="571" ht="15.75" customHeight="1" s="236"/>
    <row r="572" ht="15.75" customHeight="1" s="236"/>
    <row r="573" ht="15.75" customHeight="1" s="236"/>
    <row r="574" ht="15.75" customHeight="1" s="236"/>
    <row r="575" ht="15.75" customHeight="1" s="236"/>
    <row r="576" ht="15.75" customHeight="1" s="236"/>
    <row r="577" ht="15.75" customHeight="1" s="236"/>
    <row r="578" ht="15.75" customHeight="1" s="236"/>
    <row r="579" ht="15.75" customHeight="1" s="236"/>
    <row r="580" ht="15.75" customHeight="1" s="236"/>
    <row r="581" ht="15.75" customHeight="1" s="236"/>
    <row r="582" ht="15.75" customHeight="1" s="236"/>
    <row r="583" ht="15.75" customHeight="1" s="236"/>
    <row r="584" ht="15.75" customHeight="1" s="236"/>
    <row r="585" ht="15.75" customHeight="1" s="236"/>
    <row r="586" ht="15.75" customHeight="1" s="236"/>
    <row r="587" ht="15.75" customHeight="1" s="236"/>
    <row r="588" ht="15.75" customHeight="1" s="236"/>
    <row r="589" ht="15.75" customHeight="1" s="236"/>
    <row r="590" ht="15.75" customHeight="1" s="236"/>
    <row r="591" ht="15.75" customHeight="1" s="236"/>
    <row r="592" ht="15.75" customHeight="1" s="236"/>
    <row r="593" ht="15.75" customHeight="1" s="236"/>
    <row r="594" ht="15.75" customHeight="1" s="236"/>
    <row r="595" ht="15.75" customHeight="1" s="236"/>
    <row r="596" ht="15.75" customHeight="1" s="236"/>
    <row r="597" ht="15.75" customHeight="1" s="236"/>
    <row r="598" ht="15.75" customHeight="1" s="236"/>
    <row r="599" ht="15.75" customHeight="1" s="236"/>
    <row r="600" ht="15.75" customHeight="1" s="236"/>
    <row r="601" ht="15.75" customHeight="1" s="236"/>
    <row r="602" ht="15.75" customHeight="1" s="236"/>
    <row r="603" ht="15.75" customHeight="1" s="236"/>
    <row r="604" ht="15.75" customHeight="1" s="236"/>
    <row r="605" ht="15.75" customHeight="1" s="236"/>
    <row r="606" ht="15.75" customHeight="1" s="236"/>
    <row r="607" ht="15.75" customHeight="1" s="236"/>
    <row r="608" ht="15.75" customHeight="1" s="236"/>
    <row r="609" ht="15.75" customHeight="1" s="236"/>
    <row r="610" ht="15.75" customHeight="1" s="236"/>
    <row r="611" ht="15.75" customHeight="1" s="236"/>
    <row r="612" ht="15.75" customHeight="1" s="236"/>
    <row r="613" ht="15.75" customHeight="1" s="236"/>
    <row r="614" ht="15.75" customHeight="1" s="236"/>
    <row r="615" ht="15.75" customHeight="1" s="236"/>
    <row r="616" ht="15.75" customHeight="1" s="236"/>
    <row r="617" ht="15.75" customHeight="1" s="236"/>
    <row r="618" ht="15.75" customHeight="1" s="236"/>
    <row r="619" ht="15.75" customHeight="1" s="236"/>
    <row r="620" ht="15.75" customHeight="1" s="236"/>
    <row r="621" ht="15.75" customHeight="1" s="236"/>
    <row r="622" ht="15.75" customHeight="1" s="236"/>
    <row r="623" ht="15.75" customHeight="1" s="236"/>
    <row r="624" ht="15.75" customHeight="1" s="236"/>
    <row r="625" ht="15.75" customHeight="1" s="236"/>
    <row r="626" ht="15.75" customHeight="1" s="236"/>
    <row r="627" ht="15.75" customHeight="1" s="236"/>
    <row r="628" ht="15.75" customHeight="1" s="236"/>
    <row r="629" ht="15.75" customHeight="1" s="236"/>
    <row r="630" ht="15.75" customHeight="1" s="236"/>
    <row r="631" ht="15.75" customHeight="1" s="236"/>
    <row r="632" ht="15.75" customHeight="1" s="236"/>
    <row r="633" ht="15.75" customHeight="1" s="236"/>
    <row r="634" ht="15.75" customHeight="1" s="236"/>
    <row r="635" ht="15.75" customHeight="1" s="236"/>
    <row r="636" ht="15.75" customHeight="1" s="236"/>
    <row r="637" ht="15.75" customHeight="1" s="236"/>
    <row r="638" ht="15.75" customHeight="1" s="236"/>
    <row r="639" ht="15.75" customHeight="1" s="236"/>
    <row r="640" ht="15.75" customHeight="1" s="236"/>
    <row r="641" ht="15.75" customHeight="1" s="236"/>
    <row r="642" ht="15.75" customHeight="1" s="236"/>
    <row r="643" ht="15.75" customHeight="1" s="236"/>
    <row r="644" ht="15.75" customHeight="1" s="236"/>
    <row r="645" ht="15.75" customHeight="1" s="236"/>
    <row r="646" ht="15.75" customHeight="1" s="236"/>
    <row r="647" ht="15.75" customHeight="1" s="236"/>
    <row r="648" ht="15.75" customHeight="1" s="236"/>
    <row r="649" ht="15.75" customHeight="1" s="236"/>
    <row r="650" ht="15.75" customHeight="1" s="236"/>
    <row r="651" ht="15.75" customHeight="1" s="236"/>
    <row r="652" ht="15.75" customHeight="1" s="236"/>
    <row r="653" ht="15.75" customHeight="1" s="236"/>
    <row r="654" ht="15.75" customHeight="1" s="236"/>
    <row r="655" ht="15.75" customHeight="1" s="236"/>
    <row r="656" ht="15.75" customHeight="1" s="236"/>
    <row r="657" ht="15.75" customHeight="1" s="236"/>
    <row r="658" ht="15.75" customHeight="1" s="236"/>
    <row r="659" ht="15.75" customHeight="1" s="236"/>
    <row r="660" ht="15.75" customHeight="1" s="236"/>
    <row r="661" ht="15.75" customHeight="1" s="236"/>
    <row r="662" ht="15.75" customHeight="1" s="236"/>
    <row r="663" ht="15.75" customHeight="1" s="236"/>
    <row r="664" ht="15.75" customHeight="1" s="236"/>
    <row r="665" ht="15.75" customHeight="1" s="236"/>
    <row r="666" ht="15.75" customHeight="1" s="236"/>
    <row r="667" ht="15.75" customHeight="1" s="236"/>
    <row r="668" ht="15.75" customHeight="1" s="236"/>
    <row r="669" ht="15.75" customHeight="1" s="236"/>
    <row r="670" ht="15.75" customHeight="1" s="236"/>
    <row r="671" ht="15.75" customHeight="1" s="236"/>
    <row r="672" ht="15.75" customHeight="1" s="236"/>
    <row r="673" ht="15.75" customHeight="1" s="236"/>
    <row r="674" ht="15.75" customHeight="1" s="236"/>
    <row r="675" ht="15.75" customHeight="1" s="236"/>
    <row r="676" ht="15.75" customHeight="1" s="236"/>
    <row r="677" ht="15.75" customHeight="1" s="236"/>
    <row r="678" ht="15.75" customHeight="1" s="236"/>
    <row r="679" ht="15.75" customHeight="1" s="236"/>
    <row r="680" ht="15.75" customHeight="1" s="236"/>
    <row r="681" ht="15.75" customHeight="1" s="236"/>
    <row r="682" ht="15.75" customHeight="1" s="236"/>
    <row r="683" ht="15.75" customHeight="1" s="236"/>
    <row r="684" ht="15.75" customHeight="1" s="236"/>
    <row r="685" ht="15.75" customHeight="1" s="236"/>
    <row r="686" ht="15.75" customHeight="1" s="236"/>
    <row r="687" ht="15.75" customHeight="1" s="236"/>
    <row r="688" ht="15.75" customHeight="1" s="236"/>
    <row r="689" ht="15.75" customHeight="1" s="236"/>
    <row r="690" ht="15.75" customHeight="1" s="236"/>
    <row r="691" ht="15.75" customHeight="1" s="236"/>
    <row r="692" ht="15.75" customHeight="1" s="236"/>
    <row r="693" ht="15.75" customHeight="1" s="236"/>
    <row r="694" ht="15.75" customHeight="1" s="236"/>
    <row r="695" ht="15.75" customHeight="1" s="236"/>
    <row r="696" ht="15.75" customHeight="1" s="236"/>
    <row r="697" ht="15.75" customHeight="1" s="236"/>
    <row r="698" ht="15.75" customHeight="1" s="236"/>
    <row r="699" ht="15.75" customHeight="1" s="236"/>
    <row r="700" ht="15.75" customHeight="1" s="236"/>
    <row r="701" ht="15.75" customHeight="1" s="236"/>
    <row r="702" ht="15.75" customHeight="1" s="236"/>
    <row r="703" ht="15.75" customHeight="1" s="236"/>
    <row r="704" ht="15.75" customHeight="1" s="236"/>
    <row r="705" ht="15.75" customHeight="1" s="236"/>
    <row r="706" ht="15.75" customHeight="1" s="236"/>
    <row r="707" ht="15.75" customHeight="1" s="236"/>
    <row r="708" ht="15.75" customHeight="1" s="236"/>
    <row r="709" ht="15.75" customHeight="1" s="236"/>
    <row r="710" ht="15.75" customHeight="1" s="236"/>
    <row r="711" ht="15.75" customHeight="1" s="236"/>
    <row r="712" ht="15.75" customHeight="1" s="236"/>
    <row r="713" ht="15.75" customHeight="1" s="236"/>
    <row r="714" ht="15.75" customHeight="1" s="236"/>
    <row r="715" ht="15.75" customHeight="1" s="236"/>
    <row r="716" ht="15.75" customHeight="1" s="236"/>
    <row r="717" ht="15.75" customHeight="1" s="236"/>
    <row r="718" ht="15.75" customHeight="1" s="236"/>
    <row r="719" ht="15.75" customHeight="1" s="236"/>
    <row r="720" ht="15.75" customHeight="1" s="236"/>
    <row r="721" ht="15.75" customHeight="1" s="236"/>
    <row r="722" ht="15.75" customHeight="1" s="236"/>
    <row r="723" ht="15.75" customHeight="1" s="236"/>
    <row r="724" ht="15.75" customHeight="1" s="236"/>
    <row r="725" ht="15.75" customHeight="1" s="236"/>
    <row r="726" ht="15.75" customHeight="1" s="236"/>
    <row r="727" ht="15.75" customHeight="1" s="236"/>
    <row r="728" ht="15.75" customHeight="1" s="236"/>
    <row r="729" ht="15.75" customHeight="1" s="236"/>
    <row r="730" ht="15.75" customHeight="1" s="236"/>
    <row r="731" ht="15.75" customHeight="1" s="236"/>
    <row r="732" ht="15.75" customHeight="1" s="236"/>
    <row r="733" ht="15.75" customHeight="1" s="236"/>
    <row r="734" ht="15.75" customHeight="1" s="236"/>
    <row r="735" ht="15.75" customHeight="1" s="236"/>
    <row r="736" ht="15.75" customHeight="1" s="236"/>
    <row r="737" ht="15.75" customHeight="1" s="236"/>
    <row r="738" ht="15.75" customHeight="1" s="236"/>
    <row r="739" ht="15.75" customHeight="1" s="236"/>
    <row r="740" ht="15.75" customHeight="1" s="236"/>
    <row r="741" ht="15.75" customHeight="1" s="236"/>
    <row r="742" ht="15.75" customHeight="1" s="236"/>
    <row r="743" ht="15.75" customHeight="1" s="236"/>
    <row r="744" ht="15.75" customHeight="1" s="236"/>
    <row r="745" ht="15.75" customHeight="1" s="236"/>
    <row r="746" ht="15.75" customHeight="1" s="236"/>
    <row r="747" ht="15.75" customHeight="1" s="236"/>
    <row r="748" ht="15.75" customHeight="1" s="236"/>
    <row r="749" ht="15.75" customHeight="1" s="236"/>
    <row r="750" ht="15.75" customHeight="1" s="236"/>
    <row r="751" ht="15.75" customHeight="1" s="236"/>
    <row r="752" ht="15.75" customHeight="1" s="236"/>
    <row r="753" ht="15.75" customHeight="1" s="236"/>
    <row r="754" ht="15.75" customHeight="1" s="236"/>
    <row r="755" ht="15.75" customHeight="1" s="236"/>
    <row r="756" ht="15.75" customHeight="1" s="236"/>
    <row r="757" ht="15.75" customHeight="1" s="236"/>
    <row r="758" ht="15.75" customHeight="1" s="236"/>
    <row r="759" ht="15.75" customHeight="1" s="236"/>
    <row r="760" ht="15.75" customHeight="1" s="236"/>
    <row r="761" ht="15.75" customHeight="1" s="236"/>
    <row r="762" ht="15.75" customHeight="1" s="236"/>
    <row r="763" ht="15.75" customHeight="1" s="236"/>
    <row r="764" ht="15.75" customHeight="1" s="236"/>
    <row r="765" ht="15.75" customHeight="1" s="236"/>
    <row r="766" ht="15.75" customHeight="1" s="236"/>
    <row r="767" ht="15.75" customHeight="1" s="236"/>
    <row r="768" ht="15.75" customHeight="1" s="236"/>
    <row r="769" ht="15.75" customHeight="1" s="236"/>
    <row r="770" ht="15.75" customHeight="1" s="236"/>
    <row r="771" ht="15.75" customHeight="1" s="236"/>
    <row r="772" ht="15.75" customHeight="1" s="236"/>
    <row r="773" ht="15.75" customHeight="1" s="236"/>
    <row r="774" ht="15.75" customHeight="1" s="236"/>
    <row r="775" ht="15.75" customHeight="1" s="236"/>
    <row r="776" ht="15.75" customHeight="1" s="236"/>
    <row r="777" ht="15.75" customHeight="1" s="236"/>
    <row r="778" ht="15.75" customHeight="1" s="236"/>
    <row r="779" ht="15.75" customHeight="1" s="236"/>
    <row r="780" ht="15.75" customHeight="1" s="236"/>
    <row r="781" ht="15.75" customHeight="1" s="236"/>
    <row r="782" ht="15.75" customHeight="1" s="236"/>
    <row r="783" ht="15.75" customHeight="1" s="236"/>
    <row r="784" ht="15.75" customHeight="1" s="236"/>
    <row r="785" ht="15.75" customHeight="1" s="236"/>
    <row r="786" ht="15.75" customHeight="1" s="236"/>
    <row r="787" ht="15.75" customHeight="1" s="236"/>
    <row r="788" ht="15.75" customHeight="1" s="236"/>
    <row r="789" ht="15.75" customHeight="1" s="236"/>
    <row r="790" ht="15.75" customHeight="1" s="236"/>
    <row r="791" ht="15.75" customHeight="1" s="236"/>
    <row r="792" ht="15.75" customHeight="1" s="236"/>
    <row r="793" ht="15.75" customHeight="1" s="236"/>
    <row r="794" ht="15.75" customHeight="1" s="236"/>
    <row r="795" ht="15.75" customHeight="1" s="236"/>
    <row r="796" ht="15.75" customHeight="1" s="236"/>
    <row r="797" ht="15.75" customHeight="1" s="236"/>
    <row r="798" ht="15.75" customHeight="1" s="236"/>
    <row r="799" ht="15.75" customHeight="1" s="236"/>
    <row r="800" ht="15.75" customHeight="1" s="236"/>
    <row r="801" ht="15.75" customHeight="1" s="236"/>
    <row r="802" ht="15.75" customHeight="1" s="236"/>
    <row r="803" ht="15.75" customHeight="1" s="236"/>
    <row r="804" ht="15.75" customHeight="1" s="236"/>
    <row r="805" ht="15.75" customHeight="1" s="236"/>
    <row r="806" ht="15.75" customHeight="1" s="236"/>
    <row r="807" ht="15.75" customHeight="1" s="236"/>
    <row r="808" ht="15.75" customHeight="1" s="236"/>
    <row r="809" ht="15.75" customHeight="1" s="236"/>
    <row r="810" ht="15.75" customHeight="1" s="236"/>
    <row r="811" ht="15.75" customHeight="1" s="236"/>
    <row r="812" ht="15.75" customHeight="1" s="236"/>
    <row r="813" ht="15.75" customHeight="1" s="236"/>
    <row r="814" ht="15.75" customHeight="1" s="236"/>
    <row r="815" ht="15.75" customHeight="1" s="236"/>
    <row r="816" ht="15.75" customHeight="1" s="236"/>
    <row r="817" ht="15.75" customHeight="1" s="236"/>
    <row r="818" ht="15.75" customHeight="1" s="236"/>
    <row r="819" ht="15.75" customHeight="1" s="236"/>
    <row r="820" ht="15.75" customHeight="1" s="236"/>
    <row r="821" ht="15.75" customHeight="1" s="236"/>
    <row r="822" ht="15.75" customHeight="1" s="236"/>
    <row r="823" ht="15.75" customHeight="1" s="236"/>
    <row r="824" ht="15.75" customHeight="1" s="236"/>
    <row r="825" ht="15.75" customHeight="1" s="236"/>
    <row r="826" ht="15.75" customHeight="1" s="236"/>
    <row r="827" ht="15.75" customHeight="1" s="236"/>
    <row r="828" ht="15.75" customHeight="1" s="236"/>
    <row r="829" ht="15.75" customHeight="1" s="236"/>
    <row r="830" ht="15.75" customHeight="1" s="236"/>
    <row r="831" ht="15.75" customHeight="1" s="236"/>
    <row r="832" ht="15.75" customHeight="1" s="236"/>
    <row r="833" ht="15.75" customHeight="1" s="236"/>
    <row r="834" ht="15.75" customHeight="1" s="236"/>
    <row r="835" ht="15.75" customHeight="1" s="236"/>
    <row r="836" ht="15.75" customHeight="1" s="236"/>
    <row r="837" ht="15.75" customHeight="1" s="236"/>
    <row r="838" ht="15.75" customHeight="1" s="236"/>
    <row r="839" ht="15.75" customHeight="1" s="236"/>
    <row r="840" ht="15.75" customHeight="1" s="236"/>
    <row r="841" ht="15.75" customHeight="1" s="236"/>
    <row r="842" ht="15.75" customHeight="1" s="236"/>
    <row r="843" ht="15.75" customHeight="1" s="236"/>
    <row r="844" ht="15.75" customHeight="1" s="236"/>
    <row r="845" ht="15.75" customHeight="1" s="236"/>
    <row r="846" ht="15.75" customHeight="1" s="236"/>
    <row r="847" ht="15.75" customHeight="1" s="236"/>
    <row r="848" ht="15.75" customHeight="1" s="236"/>
    <row r="849" ht="15.75" customHeight="1" s="236"/>
    <row r="850" ht="15.75" customHeight="1" s="236"/>
    <row r="851" ht="15.75" customHeight="1" s="236"/>
    <row r="852" ht="15.75" customHeight="1" s="236"/>
    <row r="853" ht="15.75" customHeight="1" s="236"/>
    <row r="854" ht="15.75" customHeight="1" s="236"/>
    <row r="855" ht="15.75" customHeight="1" s="236"/>
    <row r="856" ht="15.75" customHeight="1" s="236"/>
    <row r="857" ht="15.75" customHeight="1" s="236"/>
    <row r="858" ht="15.75" customHeight="1" s="236"/>
    <row r="859" ht="15.75" customHeight="1" s="236"/>
    <row r="860" ht="15.75" customHeight="1" s="236"/>
    <row r="861" ht="15.75" customHeight="1" s="236"/>
    <row r="862" ht="15.75" customHeight="1" s="236"/>
    <row r="863" ht="15.75" customHeight="1" s="236"/>
    <row r="864" ht="15.75" customHeight="1" s="236"/>
    <row r="865" ht="15.75" customHeight="1" s="236"/>
    <row r="866" ht="15.75" customHeight="1" s="236"/>
    <row r="867" ht="15.75" customHeight="1" s="236"/>
    <row r="868" ht="15.75" customHeight="1" s="236"/>
    <row r="869" ht="15.75" customHeight="1" s="236"/>
    <row r="870" ht="15.75" customHeight="1" s="236"/>
    <row r="871" ht="15.75" customHeight="1" s="236"/>
    <row r="872" ht="15.75" customHeight="1" s="236"/>
    <row r="873" ht="15.75" customHeight="1" s="236"/>
    <row r="874" ht="15.75" customHeight="1" s="236"/>
    <row r="875" ht="15.75" customHeight="1" s="236"/>
    <row r="876" ht="15.75" customHeight="1" s="236"/>
    <row r="877" ht="15.75" customHeight="1" s="236"/>
    <row r="878" ht="15.75" customHeight="1" s="236"/>
    <row r="879" ht="15.75" customHeight="1" s="236"/>
    <row r="880" ht="15.75" customHeight="1" s="236"/>
    <row r="881" ht="15.75" customHeight="1" s="236"/>
    <row r="882" ht="15.75" customHeight="1" s="236"/>
    <row r="883" ht="15.75" customHeight="1" s="236"/>
    <row r="884" ht="15.75" customHeight="1" s="236"/>
    <row r="885" ht="15.75" customHeight="1" s="236"/>
    <row r="886" ht="15.75" customHeight="1" s="236"/>
    <row r="887" ht="15.75" customHeight="1" s="236"/>
    <row r="888" ht="15.75" customHeight="1" s="236"/>
    <row r="889" ht="15.75" customHeight="1" s="236"/>
    <row r="890" ht="15.75" customHeight="1" s="236"/>
    <row r="891" ht="15.75" customHeight="1" s="236"/>
    <row r="892" ht="15.75" customHeight="1" s="236"/>
    <row r="893" ht="15.75" customHeight="1" s="236"/>
    <row r="894" ht="15.75" customHeight="1" s="236"/>
    <row r="895" ht="15.75" customHeight="1" s="236"/>
    <row r="896" ht="15.75" customHeight="1" s="236"/>
    <row r="897" ht="15.75" customHeight="1" s="236"/>
    <row r="898" ht="15.75" customHeight="1" s="236"/>
    <row r="899" ht="15.75" customHeight="1" s="236"/>
    <row r="900" ht="15.75" customHeight="1" s="236"/>
    <row r="901" ht="15.75" customHeight="1" s="236"/>
    <row r="902" ht="15.75" customHeight="1" s="236"/>
    <row r="903" ht="15.75" customHeight="1" s="236"/>
    <row r="904" ht="15.75" customHeight="1" s="236"/>
    <row r="905" ht="15.75" customHeight="1" s="236"/>
    <row r="906" ht="15.75" customHeight="1" s="236"/>
    <row r="907" ht="15.75" customHeight="1" s="236"/>
    <row r="908" ht="15.75" customHeight="1" s="236"/>
    <row r="909" ht="15.75" customHeight="1" s="236"/>
    <row r="910" ht="15.75" customHeight="1" s="236"/>
    <row r="911" ht="15.75" customHeight="1" s="236"/>
    <row r="912" ht="15.75" customHeight="1" s="236"/>
    <row r="913" ht="15.75" customHeight="1" s="236"/>
    <row r="914" ht="15.75" customHeight="1" s="236"/>
    <row r="915" ht="15.75" customHeight="1" s="236"/>
    <row r="916" ht="15.75" customHeight="1" s="236"/>
    <row r="917" ht="15.75" customHeight="1" s="236"/>
    <row r="918" ht="15.75" customHeight="1" s="236"/>
    <row r="919" ht="15.75" customHeight="1" s="236"/>
    <row r="920" ht="15.75" customHeight="1" s="236"/>
    <row r="921" ht="15.75" customHeight="1" s="236"/>
    <row r="922" ht="15.75" customHeight="1" s="236"/>
    <row r="923" ht="15.75" customHeight="1" s="236"/>
    <row r="924" ht="15.75" customHeight="1" s="236"/>
    <row r="925" ht="15.75" customHeight="1" s="236"/>
    <row r="926" ht="15.75" customHeight="1" s="236"/>
    <row r="927" ht="15.75" customHeight="1" s="236"/>
    <row r="928" ht="15.75" customHeight="1" s="236"/>
    <row r="929" ht="15.75" customHeight="1" s="236"/>
    <row r="930" ht="15.75" customHeight="1" s="236"/>
    <row r="931" ht="15.75" customHeight="1" s="236"/>
    <row r="932" ht="15.75" customHeight="1" s="236"/>
    <row r="933" ht="15.75" customHeight="1" s="236"/>
    <row r="934" ht="15.75" customHeight="1" s="236"/>
    <row r="935" ht="15.75" customHeight="1" s="236"/>
    <row r="936" ht="15.75" customHeight="1" s="236"/>
    <row r="937" ht="15.75" customHeight="1" s="236"/>
    <row r="938" ht="15.75" customHeight="1" s="236"/>
    <row r="939" ht="15.75" customHeight="1" s="236"/>
    <row r="940" ht="15.75" customHeight="1" s="236"/>
    <row r="941" ht="15.75" customHeight="1" s="236"/>
    <row r="942" ht="15.75" customHeight="1" s="236"/>
    <row r="943" ht="15.75" customHeight="1" s="236"/>
    <row r="944" ht="15.75" customHeight="1" s="236"/>
    <row r="945" ht="15.75" customHeight="1" s="236"/>
    <row r="946" ht="15.75" customHeight="1" s="236"/>
    <row r="947" ht="15.75" customHeight="1" s="236"/>
    <row r="948" ht="15.75" customHeight="1" s="236"/>
    <row r="949" ht="15.75" customHeight="1" s="236"/>
    <row r="950" ht="15.75" customHeight="1" s="236"/>
    <row r="951" ht="15.75" customHeight="1" s="236"/>
    <row r="952" ht="15.75" customHeight="1" s="236"/>
    <row r="953" ht="15.75" customHeight="1" s="236"/>
    <row r="954" ht="15.75" customHeight="1" s="236"/>
    <row r="955" ht="15.75" customHeight="1" s="236"/>
    <row r="956" ht="15.75" customHeight="1" s="236"/>
    <row r="957" ht="15.75" customHeight="1" s="236"/>
    <row r="958" ht="15.75" customHeight="1" s="236"/>
    <row r="959" ht="15.75" customHeight="1" s="236"/>
    <row r="960" ht="15.75" customHeight="1" s="236"/>
    <row r="961" ht="15.75" customHeight="1" s="236"/>
    <row r="962" ht="15.75" customHeight="1" s="236"/>
    <row r="963" ht="15.75" customHeight="1" s="236"/>
    <row r="964" ht="15.75" customHeight="1" s="236"/>
    <row r="965" ht="15.75" customHeight="1" s="236"/>
    <row r="966" ht="15.75" customHeight="1" s="236"/>
    <row r="967" ht="15.75" customHeight="1" s="236"/>
    <row r="968" ht="15.75" customHeight="1" s="236"/>
    <row r="969" ht="15.75" customHeight="1" s="236"/>
    <row r="970" ht="15.75" customHeight="1" s="236"/>
    <row r="971" ht="15.75" customHeight="1" s="236"/>
    <row r="972" ht="15.75" customHeight="1" s="236"/>
    <row r="973" ht="15.75" customHeight="1" s="236"/>
    <row r="974" ht="15.75" customHeight="1" s="236"/>
    <row r="975" ht="15.75" customHeight="1" s="236"/>
    <row r="976" ht="15.75" customHeight="1" s="236"/>
    <row r="977" ht="15.75" customHeight="1" s="236"/>
    <row r="978" ht="15.75" customHeight="1" s="236"/>
    <row r="979" ht="15.75" customHeight="1" s="236"/>
    <row r="980" ht="15.75" customHeight="1" s="236"/>
    <row r="981" ht="15.75" customHeight="1" s="236"/>
    <row r="982" ht="15.75" customHeight="1" s="236"/>
    <row r="983" ht="15.75" customHeight="1" s="236"/>
    <row r="984" ht="15.75" customHeight="1" s="236"/>
    <row r="985" ht="15.75" customHeight="1" s="236"/>
    <row r="986" ht="15.75" customHeight="1" s="236"/>
    <row r="987" ht="15.75" customHeight="1" s="236"/>
    <row r="988" ht="15.75" customHeight="1" s="236"/>
    <row r="989" ht="15.75" customHeight="1" s="236"/>
    <row r="990" ht="15.75" customHeight="1" s="236"/>
    <row r="991" ht="15.75" customHeight="1" s="236"/>
    <row r="992" ht="15.75" customHeight="1" s="236"/>
    <row r="993" ht="15.75" customHeight="1" s="236"/>
    <row r="994" ht="15.75" customHeight="1" s="236"/>
    <row r="995" ht="15.75" customHeight="1" s="236"/>
    <row r="996" ht="15.75" customHeight="1" s="236"/>
    <row r="997" ht="15.75" customHeight="1" s="236"/>
    <row r="998" ht="15.75" customHeight="1" s="236"/>
    <row r="999" ht="15.75" customHeight="1" s="236"/>
    <row r="1000" ht="15.75" customHeight="1" s="236"/>
  </sheetData>
  <autoFilter ref="$A$4:$Z$115"/>
  <mergeCells count="3">
    <mergeCell ref="A1:Z1"/>
    <mergeCell ref="A3:Z3"/>
    <mergeCell ref="A2:Z2"/>
  </mergeCells>
  <conditionalFormatting sqref="E6:E115">
    <cfRule type="cellIs" priority="1" operator="equal" dxfId="11">
      <formula>"1. 未着手"</formula>
    </cfRule>
    <cfRule type="cellIs" priority="2" operator="equal" dxfId="12">
      <formula>"2. 引継ぎ中"</formula>
    </cfRule>
    <cfRule type="cellIs" priority="3" operator="equal" dxfId="13">
      <formula>"3. 初回計算"</formula>
    </cfRule>
    <cfRule type="cellIs" priority="4" operator="equal" dxfId="14">
      <formula>"4. 検証中"</formula>
    </cfRule>
    <cfRule type="cellIs" priority="5" operator="equal" dxfId="15">
      <formula>"5. 自走可能"</formula>
    </cfRule>
    <cfRule type="cellIs" priority="6" operator="equal" dxfId="16">
      <formula>"6. 完全移管"</formula>
    </cfRule>
  </conditionalFormatting>
  <conditionalFormatting sqref="R6:U115">
    <cfRule type="expression" priority="7" dxfId="16">
      <formula>OR(R6=TRUE,R6="TRUE")</formula>
    </cfRule>
  </conditionalFormatting>
  <conditionalFormatting sqref="D6:D115">
    <cfRule type="cellIs" priority="8" operator="equal" dxfId="17">
      <formula>"A：標準"</formula>
    </cfRule>
    <cfRule type="cellIs" priority="9" operator="equal" dxfId="18">
      <formula>"B：中程度"</formula>
    </cfRule>
    <cfRule type="cellIs" priority="10" operator="equal" dxfId="19">
      <formula>"C：複雑"</formula>
    </cfRule>
    <cfRule type="cellIs" priority="11" operator="equal" dxfId="20">
      <formula>"未判定"</formula>
    </cfRule>
  </conditionalFormatting>
  <conditionalFormatting sqref="F6:F115">
    <cfRule type="cellIs" priority="12" operator="equal" dxfId="21">
      <formula>"秘書チーム中心"</formula>
    </cfRule>
    <cfRule type="cellIs" priority="13" operator="equal" dxfId="22">
      <formula>"追加ワーカー中心"</formula>
    </cfRule>
    <cfRule type="cellIs" priority="14" operator="equal" dxfId="11">
      <formula>"未定"</formula>
    </cfRule>
  </conditionalFormatting>
  <conditionalFormatting sqref="V6:V115">
    <cfRule type="expression" priority="15" dxfId="15">
      <formula>$V6&lt;&gt;""</formula>
    </cfRule>
  </conditionalFormatting>
  <conditionalFormatting sqref="W6:W115">
    <cfRule type="expression" priority="16" dxfId="16">
      <formula>$W6&lt;&gt;""</formula>
    </cfRule>
  </conditionalFormatting>
  <conditionalFormatting sqref="X6:X115">
    <cfRule type="expression" priority="17" dxfId="23">
      <formula>$X6&lt;&gt;""</formula>
    </cfRule>
  </conditionalFormatting>
  <conditionalFormatting sqref="Y6:Y115">
    <cfRule type="expression" priority="18" dxfId="24">
      <formula>$Y6&lt;&gt;""</formula>
    </cfRule>
  </conditionalFormatting>
  <conditionalFormatting sqref="A6:B115">
    <cfRule type="expression" priority="19" dxfId="16">
      <formula>$X6&lt;&gt;""</formula>
    </cfRule>
  </conditionalFormatting>
  <conditionalFormatting sqref="Q6:Q115">
    <cfRule type="expression" priority="20" dxfId="25">
      <formula>$Q6=0</formula>
    </cfRule>
  </conditionalFormatting>
  <dataValidations count="9">
    <dataValidation sqref="F5:F115" showDropDown="0" showInputMessage="0" showErrorMessage="1" allowBlank="1" type="list">
      <formula1>"秘書チーム中心,追加ワーカー中心,未定"</formula1>
    </dataValidation>
    <dataValidation sqref="C5:C115" showDropDown="0" showInputMessage="0" showErrorMessage="0" allowBlank="1" type="list">
      <formula1>"1：最優先,2：優先,3：通常,4：後回し,未定"</formula1>
    </dataValidation>
    <dataValidation sqref="L5:L115" showDropDown="0" showInputMessage="0" showErrorMessage="0" allowBlank="1" type="list">
      <formula1>"当月25日,当月末日,翌月10日,翌月15日,翌月25日,その他,未確認"</formula1>
    </dataValidation>
    <dataValidation sqref="K5:K115" showDropDown="0" showInputMessage="0" showErrorMessage="0" allowBlank="1" type="list">
      <formula1>"末日,25日,20日,15日,10日,5日,その他,未確認"</formula1>
    </dataValidation>
    <dataValidation sqref="E5:E115" showDropDown="0" showInputMessage="0" showErrorMessage="1" allowBlank="1" type="list">
      <formula1>"1. 未着手,2. 引継ぎ中,3. 初回計算,4. 検証中,5. 自走可能,6. 完全移管"</formula1>
    </dataValidation>
    <dataValidation sqref="I5:I115" showDropDown="0" showInputMessage="0" showErrorMessage="0" allowBlank="1" type="list">
      <formula1>"セルズ給与,freee,マネーフォワード,弥生給与,Excel,顧客独自,その他,未確認"</formula1>
    </dataValidation>
    <dataValidation sqref="J5:J115" showDropDown="0" showInputMessage="0" showErrorMessage="0" allowBlank="1" type="list">
      <formula1>"KING OF TIME,ジョブカン,freee,マネーフォワード,Excel,タイムカード,顧客独自,その他,未確認"</formula1>
    </dataValidation>
    <dataValidation sqref="D5:D115" showDropDown="0" showInputMessage="0" showErrorMessage="1" allowBlank="1" type="list">
      <formula1>"A：標準,B：中程度,C：複雑,未判定"</formula1>
    </dataValidation>
    <dataValidation sqref="R5:U115" showDropDown="0" showInputMessage="0" showErrorMessage="0" allowBlank="1" type="list">
      <formula1>"TRUE,FALSE"</formula1>
    </dataValidation>
  </dataValidation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style="236" min="1" max="1"/>
    <col width="22" customWidth="1" style="236" min="2" max="2"/>
    <col width="16" customWidth="1" style="236" min="3" max="3"/>
    <col width="14" customWidth="1" style="236" min="4" max="4"/>
    <col width="14" customWidth="1" style="236" min="5" max="5"/>
    <col width="14" customWidth="1" style="236" min="6" max="6"/>
    <col width="14" customWidth="1" style="236" min="7" max="7"/>
    <col width="34" customWidth="1" style="236" min="8" max="8"/>
  </cols>
  <sheetData>
    <row r="1" ht="34" customHeight="1" s="236">
      <c r="A1" s="250" t="inlineStr">
        <is>
          <t>キャパシティ・必要人数　試算（An-field様 給与計算業務 完全移管）</t>
        </is>
      </c>
      <c r="B1" s="251" t="n"/>
      <c r="C1" s="251" t="n"/>
      <c r="D1" s="251" t="n"/>
      <c r="E1" s="251" t="n"/>
      <c r="F1" s="251" t="n"/>
      <c r="G1" s="251" t="n"/>
      <c r="H1" s="251" t="n"/>
    </row>
    <row r="2" ht="20" customHeight="1" s="236">
      <c r="A2" s="252" t="inlineStr">
        <is>
          <t>算出ロジック：会社別総工数 × 難易度 ÷ 担当者処理能力 → 必要人数・週あたり処理可能社数・月あたり移管可能件数</t>
        </is>
      </c>
      <c r="B2" s="253" t="n"/>
      <c r="C2" s="253" t="n"/>
      <c r="D2" s="253" t="n"/>
      <c r="E2" s="253" t="n"/>
      <c r="F2" s="253" t="n"/>
      <c r="G2" s="253" t="n"/>
      <c r="H2" s="253" t="n"/>
    </row>
    <row r="3" ht="18" customHeight="1" s="236">
      <c r="A3" s="254" t="inlineStr">
        <is>
          <t>※本シートの件数・工数・人数はすべて【暫定計画値】です。会社別工数・実績確認後に更新してください（確定値ではありません）。</t>
        </is>
      </c>
      <c r="B3" s="255" t="n"/>
      <c r="C3" s="255" t="n"/>
      <c r="D3" s="255" t="n"/>
      <c r="E3" s="255" t="n"/>
      <c r="F3" s="255" t="n"/>
      <c r="G3" s="255" t="n"/>
      <c r="H3" s="255" t="n"/>
    </row>
    <row r="4" ht="18" customHeight="1" s="236">
      <c r="A4" s="256" t="inlineStr">
        <is>
          <t>【重要】10月＝完全移管ではありません。10月は「先行企業 実運用・対象企業拡大」フェーズです。　ママワークスでの追加ワーカー採用は2026年10月開始。11〜12月は年末調整・賞与対応と並行して移管を進めます。</t>
        </is>
      </c>
      <c r="B4" s="257" t="n"/>
      <c r="C4" s="257" t="n"/>
      <c r="D4" s="257" t="n"/>
      <c r="E4" s="257" t="n"/>
      <c r="F4" s="257" t="n"/>
      <c r="G4" s="257" t="n"/>
      <c r="H4" s="257" t="n"/>
    </row>
    <row r="6" ht="22" customHeight="1" s="236">
      <c r="A6" s="357" t="inlineStr">
        <is>
          <t>①　入力項目（薄い黄色セルを入力 ／ すべて暫定値・要確認・実績入力後に再計算）</t>
        </is>
      </c>
      <c r="B6" s="358" t="n"/>
      <c r="C6" s="358" t="n"/>
      <c r="D6" s="358" t="n"/>
      <c r="E6" s="358" t="n"/>
      <c r="F6" s="358" t="n"/>
      <c r="G6" s="358" t="n"/>
      <c r="H6" s="358" t="n"/>
    </row>
    <row r="7" ht="22" customHeight="1" s="236">
      <c r="B7" s="277" t="inlineStr">
        <is>
          <t>項目</t>
        </is>
      </c>
      <c r="C7" s="279" t="n"/>
      <c r="D7" s="277" t="inlineStr">
        <is>
          <t>値</t>
        </is>
      </c>
      <c r="E7" s="277" t="inlineStr">
        <is>
          <t>単位</t>
        </is>
      </c>
      <c r="F7" s="277" t="inlineStr">
        <is>
          <t>説明・根拠</t>
        </is>
      </c>
      <c r="G7" s="279" t="n"/>
      <c r="H7" s="279" t="n"/>
    </row>
    <row r="8" ht="22" customHeight="1" s="236">
      <c r="B8" s="359" t="inlineStr">
        <is>
          <t>対象企業総数</t>
        </is>
      </c>
      <c r="C8" s="360" t="n"/>
      <c r="D8" s="361" t="n"/>
      <c r="E8" s="362" t="inlineStr">
        <is>
          <t>社</t>
        </is>
      </c>
      <c r="F8" s="363" t="inlineStr">
        <is>
          <t>【入力・空欄可】空欄の場合は案件進捗管理シートの企業名から自動集計します</t>
        </is>
      </c>
      <c r="G8" s="360" t="n"/>
      <c r="H8" s="360" t="n"/>
    </row>
    <row r="9" ht="22" customHeight="1" s="236">
      <c r="B9" s="359" t="inlineStr">
        <is>
          <t>会社別総工数（月・合計）</t>
        </is>
      </c>
      <c r="C9" s="360" t="n"/>
      <c r="D9" s="361" t="n"/>
      <c r="E9" s="362" t="inlineStr">
        <is>
          <t>h/月</t>
        </is>
      </c>
      <c r="F9" s="363" t="inlineStr">
        <is>
          <t>【入力・空欄可】空欄の場合は案件進捗管理シートの合計工数から自動集計します</t>
        </is>
      </c>
      <c r="G9" s="360" t="n"/>
      <c r="H9" s="360" t="n"/>
    </row>
    <row r="10" ht="22" customHeight="1" s="236">
      <c r="B10" s="359" t="inlineStr">
        <is>
          <t>秘書チーム人数</t>
        </is>
      </c>
      <c r="C10" s="360" t="n"/>
      <c r="D10" s="361" t="n">
        <v>3</v>
      </c>
      <c r="E10" s="362" t="inlineStr">
        <is>
          <t>名</t>
        </is>
      </c>
      <c r="F10" s="363" t="inlineStr">
        <is>
          <t>全体管理・顧客対応・資料回収・質問対応・高難易度計算・教育・品質管理・納品管理・欠員時の再配置</t>
        </is>
      </c>
      <c r="G10" s="360" t="n"/>
      <c r="H10" s="360" t="n"/>
    </row>
    <row r="11" ht="22" customHeight="1" s="236">
      <c r="B11" s="359" t="inlineStr">
        <is>
          <t>追加ワーカー人数</t>
        </is>
      </c>
      <c r="C11" s="360" t="n"/>
      <c r="D11" s="361" t="n">
        <v>2</v>
      </c>
      <c r="E11" s="362" t="inlineStr">
        <is>
          <t>名</t>
        </is>
      </c>
      <c r="F11" s="363" t="inlineStr">
        <is>
          <t>定型給与計算・チェックシートで自走可能な企業・手順が確立した業務</t>
        </is>
      </c>
      <c r="G11" s="360" t="n"/>
      <c r="H11" s="360" t="n"/>
    </row>
    <row r="12" ht="22" customHeight="1" s="236">
      <c r="B12" s="359" t="inlineStr">
        <is>
          <t>1人あたり週稼働可能時間</t>
        </is>
      </c>
      <c r="C12" s="360" t="n"/>
      <c r="D12" s="361" t="n">
        <v>30</v>
      </c>
      <c r="E12" s="362" t="inlineStr">
        <is>
          <t>h/週</t>
        </is>
      </c>
      <c r="F12" s="363" t="inlineStr">
        <is>
          <t>【暫定値・要確認】採用条件確定後に更新</t>
        </is>
      </c>
      <c r="G12" s="360" t="n"/>
      <c r="H12" s="360" t="n"/>
    </row>
    <row r="13" ht="22" customHeight="1" s="236">
      <c r="B13" s="359" t="inlineStr">
        <is>
          <t>管理業務比率</t>
        </is>
      </c>
      <c r="C13" s="360" t="n"/>
      <c r="D13" s="364" t="n">
        <v>0.2</v>
      </c>
      <c r="E13" s="362" t="inlineStr">
        <is>
          <t>％</t>
        </is>
      </c>
      <c r="F13" s="363" t="inlineStr">
        <is>
          <t>【暫定値】打合せ・報告・調整など、直接作業以外に充てる割合</t>
        </is>
      </c>
      <c r="G13" s="360" t="n"/>
      <c r="H13" s="360" t="n"/>
    </row>
    <row r="14" ht="22" customHeight="1" s="236">
      <c r="B14" s="359" t="inlineStr">
        <is>
          <t>教育工数（週・チーム全体）</t>
        </is>
      </c>
      <c r="C14" s="360" t="n"/>
      <c r="D14" s="361" t="n">
        <v>10</v>
      </c>
      <c r="E14" s="362" t="inlineStr">
        <is>
          <t>h/週</t>
        </is>
      </c>
      <c r="F14" s="363" t="inlineStr">
        <is>
          <t>【暫定値】追加ワーカー教育。処理可能工数から差し引く</t>
        </is>
      </c>
      <c r="G14" s="360" t="n"/>
      <c r="H14" s="360" t="n"/>
    </row>
    <row r="15" ht="22" customHeight="1" s="236">
      <c r="B15" s="359" t="inlineStr">
        <is>
          <t>品質確認工数（週・チーム全体）</t>
        </is>
      </c>
      <c r="C15" s="360" t="n"/>
      <c r="D15" s="361" t="n">
        <v>8</v>
      </c>
      <c r="E15" s="362" t="inlineStr">
        <is>
          <t>h/週</t>
        </is>
      </c>
      <c r="F15" s="363" t="inlineStr">
        <is>
          <t>【暫定値】秘書チームによるチェック。処理可能工数から差し引く</t>
        </is>
      </c>
      <c r="G15" s="360" t="n"/>
      <c r="H15" s="360" t="n"/>
    </row>
    <row r="16" ht="22" customHeight="1" s="236">
      <c r="B16" s="359" t="inlineStr">
        <is>
          <t>移管1社あたり追加工数</t>
        </is>
      </c>
      <c r="C16" s="360" t="n"/>
      <c r="D16" s="361" t="n">
        <v>6</v>
      </c>
      <c r="E16" s="362" t="inlineStr">
        <is>
          <t>h/社</t>
        </is>
      </c>
      <c r="F16" s="363" t="inlineStr">
        <is>
          <t>【暫定値】引継ぎ・レクチャー・テスト計算・検証にかかる初期工数。月あたり移管可能件数の算定に使用</t>
        </is>
      </c>
      <c r="G16" s="360" t="n"/>
      <c r="H16" s="360" t="n"/>
    </row>
    <row r="17" ht="22" customHeight="1" s="236">
      <c r="B17" s="359" t="inlineStr">
        <is>
          <t>難易度係数　A：標準</t>
        </is>
      </c>
      <c r="C17" s="360" t="n"/>
      <c r="D17" s="361" t="n">
        <v>1</v>
      </c>
      <c r="E17" s="362" t="inlineStr">
        <is>
          <t>倍</t>
        </is>
      </c>
      <c r="F17" s="363" t="inlineStr">
        <is>
          <t>【暫定値】9/27までに基準確定。実績入力後に再計算</t>
        </is>
      </c>
      <c r="G17" s="360" t="n"/>
      <c r="H17" s="360" t="n"/>
    </row>
    <row r="18" ht="22" customHeight="1" s="236">
      <c r="B18" s="359" t="inlineStr">
        <is>
          <t>難易度係数　B：中程度</t>
        </is>
      </c>
      <c r="C18" s="360" t="n"/>
      <c r="D18" s="361" t="n">
        <v>1.3</v>
      </c>
      <c r="E18" s="362" t="inlineStr">
        <is>
          <t>倍</t>
        </is>
      </c>
      <c r="F18" s="363" t="inlineStr">
        <is>
          <t>【暫定値】難易度未判定の企業にもこの係数を適用</t>
        </is>
      </c>
      <c r="G18" s="360" t="n"/>
      <c r="H18" s="360" t="n"/>
    </row>
    <row r="19" ht="22" customHeight="1" s="236">
      <c r="B19" s="359" t="inlineStr">
        <is>
          <t>難易度係数　C：複雑</t>
        </is>
      </c>
      <c r="C19" s="360" t="n"/>
      <c r="D19" s="361" t="n">
        <v>1.7</v>
      </c>
      <c r="E19" s="362" t="inlineStr">
        <is>
          <t>倍</t>
        </is>
      </c>
      <c r="F19" s="363" t="inlineStr">
        <is>
          <t>【暫定値】特殊ルール・例外処理が多い企業</t>
        </is>
      </c>
      <c r="G19" s="360" t="n"/>
      <c r="H19" s="360" t="n"/>
    </row>
    <row r="20" ht="22" customHeight="1" s="236">
      <c r="B20" s="359" t="inlineStr">
        <is>
          <t>月換算係数（週→月）</t>
        </is>
      </c>
      <c r="C20" s="360" t="n"/>
      <c r="D20" s="365" t="n">
        <v>4.33</v>
      </c>
      <c r="E20" s="362" t="inlineStr">
        <is>
          <t>週/月</t>
        </is>
      </c>
      <c r="F20" s="363" t="inlineStr">
        <is>
          <t>1ヶ月＝約4.33週</t>
        </is>
      </c>
      <c r="G20" s="360" t="n"/>
      <c r="H20" s="360" t="n"/>
    </row>
    <row r="21" ht="7" customHeight="1" s="236"/>
    <row r="22" ht="22" customHeight="1" s="236">
      <c r="A22" s="357" t="inlineStr">
        <is>
          <t>②　自動計算（グレーのセル ／ 入力値と案件進捗管理シートから算出）</t>
        </is>
      </c>
      <c r="B22" s="358" t="n"/>
      <c r="C22" s="358" t="n"/>
      <c r="D22" s="358" t="n"/>
      <c r="E22" s="358" t="n"/>
      <c r="F22" s="358" t="n"/>
      <c r="G22" s="358" t="n"/>
      <c r="H22" s="358" t="n"/>
    </row>
    <row r="23" ht="22" customHeight="1" s="236">
      <c r="B23" s="277" t="inlineStr">
        <is>
          <t>項目</t>
        </is>
      </c>
      <c r="C23" s="279" t="n"/>
      <c r="D23" s="277" t="inlineStr">
        <is>
          <t>値</t>
        </is>
      </c>
      <c r="E23" s="277" t="inlineStr">
        <is>
          <t>単位</t>
        </is>
      </c>
      <c r="F23" s="277" t="inlineStr">
        <is>
          <t>計算式・考え方</t>
        </is>
      </c>
      <c r="G23" s="279" t="n"/>
      <c r="H23" s="279" t="n"/>
    </row>
    <row r="24" ht="22" customHeight="1" s="236">
      <c r="B24" s="359" t="inlineStr">
        <is>
          <t>対象企業総数（採用値）</t>
        </is>
      </c>
      <c r="C24" s="360" t="n"/>
      <c r="D24" s="366">
        <f>IF('キャパシティ・必要人数'!$D$8="",COUNTA('案件進捗管理'!$B$6:$B$115),'キャパシティ・必要人数'!$D$8)</f>
        <v/>
      </c>
      <c r="E24" s="362" t="inlineStr">
        <is>
          <t>社</t>
        </is>
      </c>
      <c r="F24" s="363" t="inlineStr">
        <is>
          <t>入力欄が空欄なら案件進捗管理シートから自動集計</t>
        </is>
      </c>
      <c r="G24" s="360" t="n"/>
      <c r="H24" s="360" t="n"/>
    </row>
    <row r="25" ht="22" customHeight="1" s="236">
      <c r="B25" s="359" t="inlineStr">
        <is>
          <t>会社別総工数（採用値・月）</t>
        </is>
      </c>
      <c r="C25" s="360" t="n"/>
      <c r="D25" s="367">
        <f>IF('キャパシティ・必要人数'!$D$9="",SUM('案件進捗管理'!$Q$6:$Q$115),'キャパシティ・必要人数'!$D$9)</f>
        <v/>
      </c>
      <c r="E25" s="362" t="inlineStr">
        <is>
          <t>h</t>
        </is>
      </c>
      <c r="F25" s="363" t="inlineStr">
        <is>
          <t>入力欄が空欄なら各社の合計工数（給与計算＋資料回収＋顧客対応＋質問対応）を合計</t>
        </is>
      </c>
      <c r="G25" s="360" t="n"/>
      <c r="H25" s="360" t="n"/>
    </row>
    <row r="26" ht="22" customHeight="1" s="236">
      <c r="B26" s="368" t="inlineStr">
        <is>
          <t>総必要工数（月・難易度調整後）</t>
        </is>
      </c>
      <c r="C26" s="369" t="n"/>
      <c r="D26" s="370">
        <f>SUMIF('案件進捗管理'!$D$6:$D$115,"A：標準",'案件進捗管理'!$Q$6:$Q$115)*'キャパシティ・必要人数'!$D$17+SUMIF('案件進捗管理'!$D$6:$D$115,"B：中程度",'案件進捗管理'!$Q$6:$Q$115)*'キャパシティ・必要人数'!$D$18+SUMIF('案件進捗管理'!$D$6:$D$115,"C：複雑",'案件進捗管理'!$Q$6:$Q$115)*'キャパシティ・必要人数'!$D$19+MAX(0,'キャパシティ・必要人数'!$D$25-SUMIF('案件進捗管理'!$D$6:$D$115,"A：標準",'案件進捗管理'!$Q$6:$Q$115)-SUMIF('案件進捗管理'!$D$6:$D$115,"B：中程度",'案件進捗管理'!$Q$6:$Q$115)-SUMIF('案件進捗管理'!$D$6:$D$115,"C：複雑",'案件進捗管理'!$Q$6:$Q$115))*'キャパシティ・必要人数'!$D$18</f>
        <v/>
      </c>
      <c r="E26" s="362" t="inlineStr">
        <is>
          <t>h</t>
        </is>
      </c>
      <c r="F26" s="363" t="inlineStr">
        <is>
          <t>会社別総工数 × 難易度係数。難易度未判定の企業はB係数で暫定計上</t>
        </is>
      </c>
      <c r="G26" s="360" t="n"/>
      <c r="H26" s="360" t="n"/>
    </row>
    <row r="27" ht="22" customHeight="1" s="236">
      <c r="B27" s="359" t="inlineStr">
        <is>
          <t>現在移管済み工数（月）</t>
        </is>
      </c>
      <c r="C27" s="360" t="n"/>
      <c r="D27" s="367">
        <f>SUMIFS('案件進捗管理'!$Q$6:$Q$115,'案件進捗管理'!$V$6:$V$115,"&gt;0")</f>
        <v/>
      </c>
      <c r="E27" s="362" t="inlineStr">
        <is>
          <t>h</t>
        </is>
      </c>
      <c r="F27" s="363" t="inlineStr">
        <is>
          <t>実運用開始日が入力済みの企業の工数合計</t>
        </is>
      </c>
      <c r="G27" s="360" t="n"/>
      <c r="H27" s="360" t="n"/>
    </row>
    <row r="28" ht="22" customHeight="1" s="236">
      <c r="B28" s="359" t="inlineStr">
        <is>
          <t>残工数（月）</t>
        </is>
      </c>
      <c r="C28" s="360" t="n"/>
      <c r="D28" s="367">
        <f>'キャパシティ・必要人数'!$D$25-'キャパシティ・必要人数'!$D$27</f>
        <v/>
      </c>
      <c r="E28" s="362" t="inlineStr">
        <is>
          <t>h</t>
        </is>
      </c>
      <c r="F28" s="363" t="inlineStr">
        <is>
          <t>会社別総工数 − 現在移管済み工数</t>
        </is>
      </c>
      <c r="G28" s="360" t="n"/>
      <c r="H28" s="360" t="n"/>
    </row>
    <row r="29" ht="22" customHeight="1" s="236">
      <c r="B29" s="359" t="inlineStr">
        <is>
          <t>1人あたり週有効稼働時間</t>
        </is>
      </c>
      <c r="C29" s="360" t="n"/>
      <c r="D29" s="367">
        <f>'キャパシティ・必要人数'!$D$12*(1-'キャパシティ・必要人数'!$D$13)</f>
        <v/>
      </c>
      <c r="E29" s="362" t="inlineStr">
        <is>
          <t>h</t>
        </is>
      </c>
      <c r="F29" s="363" t="inlineStr">
        <is>
          <t>週稼働可能時間 ×（1 − 管理業務比率）</t>
        </is>
      </c>
      <c r="G29" s="360" t="n"/>
      <c r="H29" s="360" t="n"/>
    </row>
    <row r="30" ht="22" customHeight="1" s="236">
      <c r="B30" s="359" t="inlineStr">
        <is>
          <t>1人あたり処理可能工数（月）</t>
        </is>
      </c>
      <c r="C30" s="360" t="n"/>
      <c r="D30" s="367">
        <f>'キャパシティ・必要人数'!$D$29*'キャパシティ・必要人数'!$D$20</f>
        <v/>
      </c>
      <c r="E30" s="362" t="inlineStr">
        <is>
          <t>h</t>
        </is>
      </c>
      <c r="F30" s="363" t="inlineStr">
        <is>
          <t>1人あたり週有効稼働時間 × 月換算係数</t>
        </is>
      </c>
      <c r="G30" s="360" t="n"/>
      <c r="H30" s="360" t="n"/>
    </row>
    <row r="31" ht="22" customHeight="1" s="236">
      <c r="B31" s="359" t="inlineStr">
        <is>
          <t>週あたり処理可能工数（チーム）</t>
        </is>
      </c>
      <c r="C31" s="360" t="n"/>
      <c r="D31" s="367">
        <f>('キャパシティ・必要人数'!$D$10+'キャパシティ・必要人数'!$D$11)*'キャパシティ・必要人数'!$D$29-'キャパシティ・必要人数'!$D$14-'キャパシティ・必要人数'!$D$15</f>
        <v/>
      </c>
      <c r="E31" s="362" t="inlineStr">
        <is>
          <t>h</t>
        </is>
      </c>
      <c r="F31" s="363" t="inlineStr">
        <is>
          <t>（秘書＋ワーカー）× 週有効稼働時間 − 教育工数 − 品質確認工数</t>
        </is>
      </c>
      <c r="G31" s="360" t="n"/>
      <c r="H31" s="360" t="n"/>
    </row>
    <row r="32" ht="22" customHeight="1" s="236">
      <c r="B32" s="359" t="inlineStr">
        <is>
          <t>月あたり処理可能工数（チーム）</t>
        </is>
      </c>
      <c r="C32" s="360" t="n"/>
      <c r="D32" s="367">
        <f>'キャパシティ・必要人数'!$D$31*'キャパシティ・必要人数'!$D$20</f>
        <v/>
      </c>
      <c r="E32" s="362" t="inlineStr">
        <is>
          <t>h</t>
        </is>
      </c>
      <c r="F32" s="363" t="inlineStr">
        <is>
          <t>週あたり処理可能工数 × 月換算係数</t>
        </is>
      </c>
      <c r="G32" s="360" t="n"/>
      <c r="H32" s="360" t="n"/>
    </row>
    <row r="33" ht="22" customHeight="1" s="236">
      <c r="B33" s="359" t="inlineStr">
        <is>
          <t>1社あたり平均工数（難易度調整後）</t>
        </is>
      </c>
      <c r="C33" s="360" t="n"/>
      <c r="D33" s="367">
        <f>IF(COUNTIF('案件進捗管理'!$Q$6:$Q$115,"&gt;0")=0,"",'キャパシティ・必要人数'!$D$26/COUNTIF('案件進捗管理'!$Q$6:$Q$115,"&gt;0"))</f>
        <v/>
      </c>
      <c r="E33" s="362" t="inlineStr">
        <is>
          <t>h</t>
        </is>
      </c>
      <c r="F33" s="363" t="inlineStr">
        <is>
          <t>総必要工数 ÷ 工数入力済み社数。※工数未入力の社が多いうちは参考値（要確認）</t>
        </is>
      </c>
      <c r="G33" s="360" t="n"/>
      <c r="H33" s="360" t="n"/>
    </row>
    <row r="34" ht="22" customHeight="1" s="236">
      <c r="B34" s="368" t="inlineStr">
        <is>
          <t>現在人数で処理可能な企業数</t>
        </is>
      </c>
      <c r="C34" s="369" t="n"/>
      <c r="D34" s="371">
        <f>IF('キャパシティ・必要人数'!$D$33="","",ROUNDDOWN('キャパシティ・必要人数'!$D$32/'キャパシティ・必要人数'!$D$33,0))</f>
        <v/>
      </c>
      <c r="E34" s="362" t="inlineStr">
        <is>
          <t>社</t>
        </is>
      </c>
      <c r="F34" s="363" t="inlineStr">
        <is>
          <t>月あたり処理可能工数 ÷ 1社あたり平均工数（＝維持できる社数）</t>
        </is>
      </c>
      <c r="G34" s="360" t="n"/>
      <c r="H34" s="360" t="n"/>
    </row>
    <row r="35" ht="22" customHeight="1" s="236">
      <c r="B35" s="368" t="inlineStr">
        <is>
          <t>週あたり処理可能社数</t>
        </is>
      </c>
      <c r="C35" s="369" t="n"/>
      <c r="D35" s="372">
        <f>IF('キャパシティ・必要人数'!$D$33="","",'キャパシティ・必要人数'!$D$31/'キャパシティ・必要人数'!$D$33)</f>
        <v/>
      </c>
      <c r="E35" s="362" t="inlineStr">
        <is>
          <t>社/週</t>
        </is>
      </c>
      <c r="F35" s="363" t="inlineStr">
        <is>
          <t>週あたり処理可能工数 ÷ 1社あたり平均工数</t>
        </is>
      </c>
      <c r="G35" s="360" t="n"/>
      <c r="H35" s="360" t="n"/>
    </row>
    <row r="36" ht="22" customHeight="1" s="236">
      <c r="B36" s="368" t="inlineStr">
        <is>
          <t>月あたり移管可能件数</t>
        </is>
      </c>
      <c r="C36" s="369" t="n"/>
      <c r="D36" s="373">
        <f>IF('キャパシティ・必要人数'!$D$33="","",MAX(0,ROUNDDOWN(('キャパシティ・必要人数'!$D$32-'キャパシティ・必要人数'!$D$27)/('キャパシティ・必要人数'!$D$33+'キャパシティ・必要人数'!$D$16),0)))</f>
        <v/>
      </c>
      <c r="E36" s="362" t="inlineStr">
        <is>
          <t>社/月</t>
        </is>
      </c>
      <c r="F36" s="363" t="inlineStr">
        <is>
          <t>（月あたり処理可能工数 − 現在移管済み工数）÷（1社あたり平均工数 ＋ 移管1社あたり追加工数）</t>
        </is>
      </c>
      <c r="G36" s="360" t="n"/>
      <c r="H36" s="360" t="n"/>
    </row>
    <row r="37" ht="22" customHeight="1" s="236">
      <c r="B37" s="368" t="inlineStr">
        <is>
          <t>1人あたり処理可能社数（月）</t>
        </is>
      </c>
      <c r="C37" s="369" t="n"/>
      <c r="D37" s="374">
        <f>IF('キャパシティ・必要人数'!$D$33="","",'キャパシティ・必要人数'!$D$30/'キャパシティ・必要人数'!$D$33)</f>
        <v/>
      </c>
      <c r="E37" s="362" t="inlineStr">
        <is>
          <t>社/人</t>
        </is>
      </c>
      <c r="F37" s="363" t="inlineStr">
        <is>
          <t>1人あたり処理可能工数（月）÷ 1社あたり平均工数</t>
        </is>
      </c>
      <c r="G37" s="360" t="n"/>
      <c r="H37" s="360" t="n"/>
    </row>
    <row r="38" ht="22" customHeight="1" s="236">
      <c r="B38" s="368" t="inlineStr">
        <is>
          <t>必要追加人数</t>
        </is>
      </c>
      <c r="C38" s="369" t="n"/>
      <c r="D38" s="375">
        <f>IF('キャパシティ・必要人数'!$D$26=0,"",MAX(0,ROUNDUP(('キャパシティ・必要人数'!$D$26-'キャパシティ・必要人数'!$D$32)/'キャパシティ・必要人数'!$D$30,0)))</f>
        <v/>
      </c>
      <c r="E38" s="362" t="inlineStr">
        <is>
          <t>名</t>
        </is>
      </c>
      <c r="F38" s="363" t="inlineStr">
        <is>
          <t>（総必要工数 − 月あたり処理可能工数）÷ 1人あたり処理可能工数（月）</t>
        </is>
      </c>
      <c r="G38" s="360" t="n"/>
      <c r="H38" s="360" t="n"/>
    </row>
    <row r="39" ht="22" customHeight="1" s="236">
      <c r="B39" s="359" t="inlineStr">
        <is>
          <t>現在の移管ペース（社/週）</t>
        </is>
      </c>
      <c r="C39" s="360" t="n"/>
      <c r="D39" s="376">
        <f>IF(TODAY()&lt;DATE(2026,9,9),"",COUNTIFS('案件進捗管理'!$V$6:$V$115,"&gt;0")/MIN(8,MAX(1,ROUNDDOWN((TODAY()-DATE(2026,9,9))/7,0)+1)))</f>
        <v/>
      </c>
      <c r="E39" s="362" t="inlineStr">
        <is>
          <t>社/週</t>
        </is>
      </c>
      <c r="F39" s="363" t="inlineStr">
        <is>
          <t>実運用開始済み社数 ÷ 9/9からの経過週数（最大8週）</t>
        </is>
      </c>
      <c r="G39" s="360" t="n"/>
      <c r="H39" s="360" t="n"/>
    </row>
    <row r="40" ht="22" customHeight="1" s="236">
      <c r="B40" s="359" t="inlineStr">
        <is>
          <t>完全移管までの残社数</t>
        </is>
      </c>
      <c r="C40" s="360" t="n"/>
      <c r="D40" s="366">
        <f>'キャパシティ・必要人数'!$D$24-COUNTIFS('案件進捗管理'!$X$6:$X$115,"&gt;0")</f>
        <v/>
      </c>
      <c r="E40" s="362" t="inlineStr">
        <is>
          <t>社</t>
        </is>
      </c>
      <c r="F40" s="363" t="inlineStr">
        <is>
          <t>対象企業総数 − 完全移管日が入力済みの社数</t>
        </is>
      </c>
      <c r="G40" s="360" t="n"/>
      <c r="H40" s="360" t="n"/>
    </row>
    <row r="42" ht="22" customHeight="1" s="236">
      <c r="A42" s="357" t="inlineStr">
        <is>
          <t>③　体制判定（自動）</t>
        </is>
      </c>
      <c r="B42" s="358" t="n"/>
      <c r="C42" s="358" t="n"/>
      <c r="D42" s="358" t="n"/>
      <c r="E42" s="358" t="n"/>
      <c r="F42" s="358" t="n"/>
      <c r="G42" s="358" t="n"/>
      <c r="H42" s="358" t="n"/>
    </row>
    <row r="43" ht="24" customHeight="1" s="236">
      <c r="B43" s="377">
        <f>IF('キャパシティ・必要人数'!$D$26=0,"要確認：会社別工数が未入力のため判定できません（案件進捗管理シートに工数を入力してください）",IF('キャパシティ・必要人数'!$D$38=0,"OK：現在の人員（"&amp;('キャパシティ・必要人数'!$D$10+'キャパシティ・必要人数'!$D$11)&amp;"名）で対象企業を処理可能な試算です　／月あたり移管可能件数 "&amp;'キャパシティ・必要人数'!$D$36&amp;" 社","要増員：追加 "&amp;'キャパシティ・必要人数'!$D$38&amp;"名が必要（暫定試算）　現在人数で処理可能なのは "&amp;'キャパシティ・必要人数'!$D$34&amp;" 社／月あたり移管可能件数 "&amp;'キャパシティ・必要人数'!$D$36&amp;" 社"))</f>
        <v/>
      </c>
      <c r="C43" s="346" t="n"/>
      <c r="D43" s="346" t="n"/>
      <c r="E43" s="346" t="n"/>
      <c r="F43" s="346" t="n"/>
      <c r="G43" s="346" t="n"/>
      <c r="H43" s="346" t="n"/>
    </row>
    <row r="44" ht="24" customHeight="1" s="236">
      <c r="B44" s="346" t="n"/>
      <c r="C44" s="346" t="n"/>
      <c r="D44" s="346" t="n"/>
      <c r="E44" s="346" t="n"/>
      <c r="F44" s="346" t="n"/>
      <c r="G44" s="346" t="n"/>
      <c r="H44" s="346" t="n"/>
    </row>
    <row r="46" ht="22" customHeight="1" s="236">
      <c r="A46" s="357" t="inlineStr">
        <is>
          <t>④　採用計画・月別体制推移（★ママワークスでの追加ワーカー採用は 2026年10月 開始）</t>
        </is>
      </c>
      <c r="B46" s="358" t="n"/>
      <c r="C46" s="358" t="n"/>
      <c r="D46" s="358" t="n"/>
      <c r="E46" s="358" t="n"/>
      <c r="F46" s="358" t="n"/>
      <c r="G46" s="358" t="n"/>
      <c r="H46" s="358" t="n"/>
    </row>
    <row r="47" ht="24" customHeight="1" s="236">
      <c r="B47" s="277" t="inlineStr">
        <is>
          <t>項目</t>
        </is>
      </c>
      <c r="C47" s="279" t="n"/>
      <c r="D47" s="277" t="inlineStr">
        <is>
          <t>2026年9月</t>
        </is>
      </c>
      <c r="E47" s="277" t="inlineStr">
        <is>
          <t>2026年10月</t>
        </is>
      </c>
      <c r="F47" s="277" t="inlineStr">
        <is>
          <t>2026年11月</t>
        </is>
      </c>
      <c r="G47" s="277" t="inlineStr">
        <is>
          <t>2026年12月</t>
        </is>
      </c>
      <c r="H47" s="277" t="inlineStr">
        <is>
          <t>考え方</t>
        </is>
      </c>
    </row>
    <row r="48" ht="22" customHeight="1" s="236">
      <c r="B48" s="378" t="inlineStr">
        <is>
          <t>秘書チーム人数【入力】</t>
        </is>
      </c>
      <c r="C48" s="379" t="n"/>
      <c r="D48" s="380" t="n">
        <v>3</v>
      </c>
      <c r="E48" s="380" t="n">
        <v>3</v>
      </c>
      <c r="F48" s="380" t="n">
        <v>3</v>
      </c>
      <c r="G48" s="380" t="n">
        <v>3</v>
      </c>
      <c r="H48" s="381" t="inlineStr">
        <is>
          <t>全体管理・顧客対応・高難易度計算・教育・品質管理</t>
        </is>
      </c>
    </row>
    <row r="49" ht="22" customHeight="1" s="236">
      <c r="B49" s="378" t="inlineStr">
        <is>
          <t>追加ワーカー（既存）【入力】</t>
        </is>
      </c>
      <c r="C49" s="379" t="n"/>
      <c r="D49" s="380" t="n">
        <v>0</v>
      </c>
      <c r="E49" s="380" t="n">
        <v>2</v>
      </c>
      <c r="F49" s="380" t="n">
        <v>2</v>
      </c>
      <c r="G49" s="380" t="n">
        <v>2</v>
      </c>
      <c r="H49" s="381" t="inlineStr">
        <is>
          <t>ママワークス以外の既存ルートで確保した人数</t>
        </is>
      </c>
    </row>
    <row r="50" ht="22" customHeight="1" s="236">
      <c r="B50" s="378" t="inlineStr">
        <is>
          <t>★ママワークス 当月採用【入力】</t>
        </is>
      </c>
      <c r="C50" s="379" t="n"/>
      <c r="D50" s="380" t="n">
        <v>0</v>
      </c>
      <c r="E50" s="380" t="n">
        <v>2</v>
      </c>
      <c r="F50" s="380" t="n">
        <v>2</v>
      </c>
      <c r="G50" s="380" t="n">
        <v>1</v>
      </c>
      <c r="H50" s="381" t="inlineStr">
        <is>
          <t>【暫定値】10月から募集開始。実績が出たら更新</t>
        </is>
      </c>
    </row>
    <row r="51" ht="22" customHeight="1" s="236">
      <c r="B51" s="378" t="inlineStr">
        <is>
          <t>ママワークス 採用累計</t>
        </is>
      </c>
      <c r="C51" s="379" t="n"/>
      <c r="D51" s="382">
        <f>D50</f>
        <v/>
      </c>
      <c r="E51" s="382">
        <f>D51+E50</f>
        <v/>
      </c>
      <c r="F51" s="382">
        <f>E51+F50</f>
        <v/>
      </c>
      <c r="G51" s="382">
        <f>F51+G50</f>
        <v/>
      </c>
      <c r="H51" s="381" t="inlineStr">
        <is>
          <t>当月までの採用人数の累計</t>
        </is>
      </c>
    </row>
    <row r="52" ht="22" customHeight="1" s="236">
      <c r="B52" s="378" t="inlineStr">
        <is>
          <t>戦力化済み人数</t>
        </is>
      </c>
      <c r="C52" s="379" t="n"/>
      <c r="D52" s="382">
        <f>0</f>
        <v/>
      </c>
      <c r="E52" s="382">
        <f>D51</f>
        <v/>
      </c>
      <c r="F52" s="382">
        <f>E51</f>
        <v/>
      </c>
      <c r="G52" s="382">
        <f>F51</f>
        <v/>
      </c>
      <c r="H52" s="381" t="inlineStr">
        <is>
          <t>採用の翌月から戦力化する想定（リードタイム約1ヶ月・暫定）</t>
        </is>
      </c>
    </row>
    <row r="53" ht="22" customHeight="1" s="236">
      <c r="B53" s="378" t="inlineStr">
        <is>
          <t>稼働人数合計</t>
        </is>
      </c>
      <c r="C53" s="379" t="n"/>
      <c r="D53" s="382">
        <f>D48+D49+D52</f>
        <v/>
      </c>
      <c r="E53" s="382">
        <f>E48+E49+E52</f>
        <v/>
      </c>
      <c r="F53" s="382">
        <f>F48+F49+F52</f>
        <v/>
      </c>
      <c r="G53" s="382">
        <f>G48+G49+G52</f>
        <v/>
      </c>
      <c r="H53" s="381" t="inlineStr">
        <is>
          <t>秘書チーム ＋ 追加ワーカー（既存）＋ 戦力化済み人数</t>
        </is>
      </c>
    </row>
    <row r="54" ht="22" customHeight="1" s="236">
      <c r="B54" s="383" t="inlineStr">
        <is>
          <t>月あたり処理可能工数</t>
        </is>
      </c>
      <c r="C54" s="379" t="n"/>
      <c r="D54" s="384">
        <f>D53*'キャパシティ・必要人数'!$D$30-('キャパシティ・必要人数'!$D$14+'キャパシティ・必要人数'!$D$15)*'キャパシティ・必要人数'!$D$20</f>
        <v/>
      </c>
      <c r="E54" s="384">
        <f>E53*'キャパシティ・必要人数'!$D$30-('キャパシティ・必要人数'!$D$14+'キャパシティ・必要人数'!$D$15)*'キャパシティ・必要人数'!$D$20</f>
        <v/>
      </c>
      <c r="F54" s="384">
        <f>F53*'キャパシティ・必要人数'!$D$30-('キャパシティ・必要人数'!$D$14+'キャパシティ・必要人数'!$D$15)*'キャパシティ・必要人数'!$D$20</f>
        <v/>
      </c>
      <c r="G54" s="384">
        <f>G53*'キャパシティ・必要人数'!$D$30-('キャパシティ・必要人数'!$D$14+'キャパシティ・必要人数'!$D$15)*'キャパシティ・必要人数'!$D$20</f>
        <v/>
      </c>
      <c r="H54" s="381" t="inlineStr">
        <is>
          <t>稼働人数 × 1人あたり処理可能工数（月）− （教育＋品質確認）× 月換算</t>
        </is>
      </c>
    </row>
    <row r="55" ht="22" customHeight="1" s="236">
      <c r="B55" s="383" t="inlineStr">
        <is>
          <t>処理可能社数</t>
        </is>
      </c>
      <c r="C55" s="379" t="n"/>
      <c r="D55" s="366">
        <f>IF('キャパシティ・必要人数'!$D$33="","",ROUNDDOWN(D54/'キャパシティ・必要人数'!$D$33,0))</f>
        <v/>
      </c>
      <c r="E55" s="366">
        <f>IF('キャパシティ・必要人数'!$D$33="","",ROUNDDOWN(E54/'キャパシティ・必要人数'!$D$33,0))</f>
        <v/>
      </c>
      <c r="F55" s="366">
        <f>IF('キャパシティ・必要人数'!$D$33="","",ROUNDDOWN(F54/'キャパシティ・必要人数'!$D$33,0))</f>
        <v/>
      </c>
      <c r="G55" s="366">
        <f>IF('キャパシティ・必要人数'!$D$33="","",ROUNDDOWN(G54/'キャパシティ・必要人数'!$D$33,0))</f>
        <v/>
      </c>
      <c r="H55" s="381" t="inlineStr">
        <is>
          <t>月あたり処理可能工数 ÷ 1社あたり平均工数</t>
        </is>
      </c>
    </row>
    <row r="56" ht="22" customHeight="1" s="236">
      <c r="B56" s="378" t="inlineStr">
        <is>
          <t>計画実運用累計（暫定）【入力】</t>
        </is>
      </c>
      <c r="C56" s="379" t="n"/>
      <c r="D56" s="385" t="n">
        <v>0</v>
      </c>
      <c r="E56" s="385" t="n">
        <v>30</v>
      </c>
      <c r="F56" s="385" t="n">
        <v>50</v>
      </c>
      <c r="G56" s="385" t="n">
        <v>75</v>
      </c>
      <c r="H56" s="381" t="inlineStr">
        <is>
          <t>【暫定計画値】件数目標ではなく、実工数と品質で調整する目安</t>
        </is>
      </c>
    </row>
    <row r="57" ht="22" customHeight="1" s="236">
      <c r="B57" s="383" t="inlineStr">
        <is>
          <t>過不足（処理可能社数 − 計画）</t>
        </is>
      </c>
      <c r="C57" s="379" t="n"/>
      <c r="D57" s="386">
        <f>IF(D55="","",D55-D56)</f>
        <v/>
      </c>
      <c r="E57" s="386">
        <f>IF(E55="","",E55-E56)</f>
        <v/>
      </c>
      <c r="F57" s="386">
        <f>IF(F55="","",F55-F56)</f>
        <v/>
      </c>
      <c r="G57" s="386">
        <f>IF(G55="","",G55-G56)</f>
        <v/>
      </c>
      <c r="H57" s="381" t="inlineStr">
        <is>
          <t>マイナス＝計画に対して処理能力が不足（増員が必要）</t>
        </is>
      </c>
    </row>
    <row r="59" ht="28" customHeight="1" s="236">
      <c r="A59" s="345" t="inlineStr">
        <is>
          <t>【このシートの使い方】件数ありきではなく工数ベースで計画します。「対象企業総数」「会社別総工数」は空欄のままにすると案件進捗管理シートから自動集計され、数値を入力するとその値が優先されます（採用値は②に表示）。</t>
        </is>
      </c>
      <c r="B59" s="346" t="n"/>
      <c r="C59" s="346" t="n"/>
      <c r="D59" s="346" t="n"/>
      <c r="E59" s="346" t="n"/>
      <c r="F59" s="346" t="n"/>
      <c r="G59" s="346" t="n"/>
      <c r="H59" s="346" t="n"/>
    </row>
    <row r="60" ht="32" customHeight="1" s="236">
      <c r="A60" s="347" t="inlineStr">
        <is>
          <t>【必要人数・処理可能社数・移管可能件数の関係】必要人数＝(総必要工数−月あたり処理可能工数)÷1人あたり処理可能工数　／　週あたり処理可能社数＝週あたり処理可能工数÷1社あたり平均工数　／　月あたり移管可能件数＝(月あたり処理可能工数−移管済み工数)÷(1社あたり平均工数＋移管1社あたり追加工数)</t>
        </is>
      </c>
      <c r="B60" s="272" t="n"/>
      <c r="C60" s="272" t="n"/>
      <c r="D60" s="272" t="n"/>
      <c r="E60" s="272" t="n"/>
      <c r="F60" s="272" t="n"/>
      <c r="G60" s="272" t="n"/>
      <c r="H60" s="272" t="n"/>
    </row>
    <row r="61" ht="28" customHeight="1" s="236">
      <c r="A61" s="348" t="inlineStr">
        <is>
          <t>【再計算のタイミング】①9/20 先行企業の実工数計測後　②9/27 難易度A/B/C基準確定後　③10/18 会社別工数再計測後　④10/25 処理能力再計算・追加採用要否判定時。各時点で入力値を更新すると全ての試算が自動で再計算されます。</t>
        </is>
      </c>
      <c r="B61" s="274" t="n"/>
      <c r="C61" s="274" t="n"/>
      <c r="D61" s="274" t="n"/>
      <c r="E61" s="274" t="n"/>
      <c r="F61" s="274" t="n"/>
      <c r="G61" s="274" t="n"/>
      <c r="H61" s="274" t="n"/>
    </row>
    <row r="62" ht="30" customHeight="1" s="236">
      <c r="A62" s="387" t="inlineStr">
        <is>
          <t>【採用計画（④）の見方】ママワークスでの募集は2026年10月開始です。採用者は翌月から戦力化する想定（リードタイム約1ヶ月・暫定）のため、10月採用分は11月から処理能力に反映されます。「過不足」がマイナスの月は、その月の計画に対して人員が不足しています。</t>
        </is>
      </c>
      <c r="B62" s="388" t="n"/>
      <c r="C62" s="388" t="n"/>
      <c r="D62" s="388" t="n"/>
      <c r="E62" s="388" t="n"/>
      <c r="F62" s="388" t="n"/>
      <c r="G62" s="388" t="n"/>
      <c r="H62" s="388" t="n"/>
    </row>
    <row r="63" ht="28" customHeight="1" s="236">
      <c r="A63" s="350" t="inlineStr">
        <is>
          <t>【暫定値・要確認】難易度係数・週稼働可能時間・管理業務比率・教育工数・品質確認工数・移管1社あたり追加工数はすべて暫定値です。実績が出るまで必要追加人数も暫定試算であり、確定値ではありません（実績入力後に再計算）。</t>
        </is>
      </c>
      <c r="B63" s="351" t="n"/>
      <c r="C63" s="351" t="n"/>
      <c r="D63" s="351" t="n"/>
      <c r="E63" s="351" t="n"/>
      <c r="F63" s="351" t="n"/>
      <c r="G63" s="351" t="n"/>
      <c r="H63" s="351" t="n"/>
    </row>
  </sheetData>
  <mergeCells count="93">
    <mergeCell ref="F36:H36"/>
    <mergeCell ref="F18:H18"/>
    <mergeCell ref="F33:H33"/>
    <mergeCell ref="E7"/>
    <mergeCell ref="F8:H8"/>
    <mergeCell ref="F17:H17"/>
    <mergeCell ref="B31:C31"/>
    <mergeCell ref="A6:H6"/>
    <mergeCell ref="D23"/>
    <mergeCell ref="B12:C12"/>
    <mergeCell ref="F31:H31"/>
    <mergeCell ref="B14:C14"/>
    <mergeCell ref="F9:H9"/>
    <mergeCell ref="F39:H39"/>
    <mergeCell ref="B13:C13"/>
    <mergeCell ref="A3:H3"/>
    <mergeCell ref="B38:C38"/>
    <mergeCell ref="F14:H14"/>
    <mergeCell ref="B40:C40"/>
    <mergeCell ref="B49:C49"/>
    <mergeCell ref="B55:C55"/>
    <mergeCell ref="B24:C24"/>
    <mergeCell ref="B33:C33"/>
    <mergeCell ref="B51:C51"/>
    <mergeCell ref="B32:C32"/>
    <mergeCell ref="F12:H12"/>
    <mergeCell ref="B26:C26"/>
    <mergeCell ref="F7:H7"/>
    <mergeCell ref="B35:C35"/>
    <mergeCell ref="B16:C16"/>
    <mergeCell ref="B25:C25"/>
    <mergeCell ref="F35:H35"/>
    <mergeCell ref="A60:H60"/>
    <mergeCell ref="B18:C18"/>
    <mergeCell ref="B27:C27"/>
    <mergeCell ref="B11:C11"/>
    <mergeCell ref="F27:H27"/>
    <mergeCell ref="B53:C53"/>
    <mergeCell ref="B29:C29"/>
    <mergeCell ref="A2:H2"/>
    <mergeCell ref="B37:C37"/>
    <mergeCell ref="A42:H42"/>
    <mergeCell ref="F29:H29"/>
    <mergeCell ref="F11:H11"/>
    <mergeCell ref="A22:H22"/>
    <mergeCell ref="F25:H25"/>
    <mergeCell ref="A62:H62"/>
    <mergeCell ref="B15:C15"/>
    <mergeCell ref="D7"/>
    <mergeCell ref="F40:H40"/>
    <mergeCell ref="F15:H15"/>
    <mergeCell ref="F24:H24"/>
    <mergeCell ref="B54:C54"/>
    <mergeCell ref="B7:C7"/>
    <mergeCell ref="A59:H59"/>
    <mergeCell ref="F32:H32"/>
    <mergeCell ref="B43:H44"/>
    <mergeCell ref="F26:H26"/>
    <mergeCell ref="B56:C56"/>
    <mergeCell ref="A61:H61"/>
    <mergeCell ref="F23:H23"/>
    <mergeCell ref="F38:H38"/>
    <mergeCell ref="B52:C52"/>
    <mergeCell ref="F13:H13"/>
    <mergeCell ref="B17:C17"/>
    <mergeCell ref="B57:C57"/>
    <mergeCell ref="F37:H37"/>
    <mergeCell ref="E23"/>
    <mergeCell ref="B19:C19"/>
    <mergeCell ref="B34:C34"/>
    <mergeCell ref="B28:C28"/>
    <mergeCell ref="B9:C9"/>
    <mergeCell ref="F34:H34"/>
    <mergeCell ref="F16:H16"/>
    <mergeCell ref="B30:C30"/>
    <mergeCell ref="B20:C20"/>
    <mergeCell ref="A63:H63"/>
    <mergeCell ref="F30:H30"/>
    <mergeCell ref="F20:H20"/>
    <mergeCell ref="B47:C47"/>
    <mergeCell ref="A1:H1"/>
    <mergeCell ref="B39:C39"/>
    <mergeCell ref="B48:C48"/>
    <mergeCell ref="F28:H28"/>
    <mergeCell ref="B23:C23"/>
    <mergeCell ref="A46:H46"/>
    <mergeCell ref="B8:C8"/>
    <mergeCell ref="B10:C10"/>
    <mergeCell ref="A4:H4"/>
    <mergeCell ref="F10:H10"/>
    <mergeCell ref="F19:H19"/>
    <mergeCell ref="B36:C36"/>
    <mergeCell ref="B50:C50"/>
  </mergeCells>
  <conditionalFormatting sqref="B43:H44">
    <cfRule type="expression" priority="1" dxfId="34">
      <formula>ISNUMBER(SEARCH("要増員",$B$43))</formula>
    </cfRule>
    <cfRule type="expression" priority="2" dxfId="35">
      <formula>ISNUMBER(SEARCH("要確認",$B$43))</formula>
    </cfRule>
    <cfRule type="expression" priority="3" dxfId="36">
      <formula>ISNUMBER(SEARCH("OK：",$B$43))</formula>
    </cfRule>
  </conditionalFormatting>
  <conditionalFormatting sqref="D57:G57">
    <cfRule type="expression" priority="4" dxfId="37">
      <formula>AND(D57&lt;&gt;"",D57&lt;0)</formula>
    </cfRule>
    <cfRule type="expression" priority="5" dxfId="38">
      <formula>AND(D57&lt;&gt;"",D57&gt;=0)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style="236" min="1" max="1"/>
    <col width="12" customWidth="1" style="236" min="2" max="2"/>
    <col width="12" customWidth="1" style="236" min="3" max="3"/>
    <col width="12" customWidth="1" style="236" min="4" max="4"/>
    <col width="12" customWidth="1" style="236" min="5" max="5"/>
    <col width="12" customWidth="1" style="236" min="6" max="6"/>
    <col width="12" customWidth="1" style="236" min="7" max="7"/>
    <col width="12" customWidth="1" style="236" min="8" max="8"/>
    <col width="12" customWidth="1" style="236" min="9" max="9"/>
    <col width="12" customWidth="1" style="236" min="10" max="10"/>
    <col width="12" customWidth="1" style="236" min="11" max="11"/>
    <col width="12" customWidth="1" style="236" min="12" max="12"/>
    <col width="12" customWidth="1" style="236" min="13" max="13"/>
    <col width="12" customWidth="1" style="236" min="14" max="14"/>
    <col width="12" customWidth="1" style="236" min="15" max="15"/>
    <col width="12" customWidth="1" style="236" min="16" max="16"/>
    <col width="12" customWidth="1" style="236" min="17" max="17"/>
    <col width="12" customWidth="1" style="236" min="18" max="18"/>
    <col width="12" customWidth="1" style="236" min="19" max="19"/>
    <col width="12" customWidth="1" style="236" min="20" max="20"/>
  </cols>
  <sheetData>
    <row r="1" ht="34" customHeight="1" s="236">
      <c r="A1" s="250" t="inlineStr">
        <is>
          <t>KPI ダッシュボード（An-field様 給与計算業務 完全移管 ／ 2026年9月〜12月）</t>
        </is>
      </c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</row>
    <row r="2" ht="20" customHeight="1" s="236">
      <c r="A2" s="252" t="inlineStr">
        <is>
          <t>進捗は3軸で評価します：①件数進捗（各ステータス到達社数）②工数進捗（移管できた工数）③自走進捗（An-field様の日常的な確認なしで運用できる社数）</t>
        </is>
      </c>
      <c r="B2" s="253" t="n"/>
      <c r="C2" s="253" t="n"/>
      <c r="D2" s="253" t="n"/>
      <c r="E2" s="253" t="n"/>
      <c r="F2" s="253" t="n"/>
      <c r="G2" s="253" t="n"/>
      <c r="H2" s="253" t="n"/>
      <c r="I2" s="253" t="n"/>
      <c r="J2" s="253" t="n"/>
      <c r="K2" s="253" t="n"/>
      <c r="L2" s="253" t="n"/>
      <c r="M2" s="253" t="n"/>
      <c r="N2" s="253" t="n"/>
      <c r="O2" s="253" t="n"/>
      <c r="P2" s="253" t="n"/>
      <c r="Q2" s="253" t="n"/>
      <c r="R2" s="253" t="n"/>
      <c r="S2" s="253" t="n"/>
      <c r="T2" s="253" t="n"/>
    </row>
    <row r="3" ht="18" customHeight="1" s="236">
      <c r="A3" s="254" t="inlineStr">
        <is>
          <t>※本シートの件数・工数・人数はすべて【暫定計画値】です。会社別工数・実績確認後に更新してください（確定値ではありません）。</t>
        </is>
      </c>
      <c r="B3" s="255" t="n"/>
      <c r="C3" s="255" t="n"/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</row>
    <row r="4" ht="18" customHeight="1" s="236">
      <c r="A4" s="256" t="inlineStr">
        <is>
          <t>【重要】10月＝完全移管ではありません。10月は「先行企業 実運用・対象企業拡大」フェーズです。　ママワークスでの追加ワーカー採用は2026年10月開始。11〜12月は年末調整・賞与対応と並行して移管を進めます。</t>
        </is>
      </c>
      <c r="B4" s="257" t="n"/>
      <c r="C4" s="257" t="n"/>
      <c r="D4" s="257" t="n"/>
      <c r="E4" s="257" t="n"/>
      <c r="F4" s="257" t="n"/>
      <c r="G4" s="257" t="n"/>
      <c r="H4" s="257" t="n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</row>
    <row r="6" ht="22" customHeight="1" s="236">
      <c r="A6" s="357" t="inlineStr">
        <is>
          <t>①　KPIサマリー（自動集計 ／ 集計元：案件進捗管理・キャパシティ・週間スケジュール）</t>
        </is>
      </c>
      <c r="B6" s="358" t="n"/>
      <c r="C6" s="358" t="n"/>
      <c r="D6" s="358" t="n"/>
      <c r="E6" s="358" t="n"/>
      <c r="F6" s="358" t="n"/>
      <c r="G6" s="358" t="n"/>
      <c r="H6" s="358" t="n"/>
      <c r="I6" s="358" t="n"/>
      <c r="J6" s="358" t="n"/>
      <c r="K6" s="358" t="n"/>
      <c r="L6" s="358" t="n"/>
      <c r="M6" s="358" t="n"/>
      <c r="N6" s="358" t="n"/>
      <c r="O6" s="358" t="n"/>
      <c r="P6" s="358" t="n"/>
      <c r="Q6" s="358" t="n"/>
      <c r="R6" s="358" t="n"/>
      <c r="S6" s="358" t="n"/>
      <c r="T6" s="358" t="n"/>
    </row>
    <row r="7" ht="28" customHeight="1" s="236">
      <c r="B7" s="389" t="inlineStr">
        <is>
          <t>総企業数</t>
        </is>
      </c>
      <c r="C7" s="390" t="n"/>
      <c r="D7" s="390" t="n"/>
      <c r="E7" s="391" t="n"/>
      <c r="G7" s="389" t="inlineStr">
        <is>
          <t>情報整理済み企業数</t>
        </is>
      </c>
      <c r="H7" s="390" t="n"/>
      <c r="I7" s="390" t="n"/>
      <c r="J7" s="391" t="n"/>
      <c r="L7" s="389" t="inlineStr">
        <is>
          <t>引継ぎ中企業数</t>
        </is>
      </c>
      <c r="M7" s="390" t="n"/>
      <c r="N7" s="390" t="n"/>
      <c r="O7" s="391" t="n"/>
      <c r="Q7" s="389" t="inlineStr">
        <is>
          <t>初回計算済み企業数</t>
        </is>
      </c>
      <c r="R7" s="390" t="n"/>
      <c r="S7" s="390" t="n"/>
      <c r="T7" s="391" t="n"/>
    </row>
    <row r="8" ht="34" customHeight="1" s="236">
      <c r="B8" s="392">
        <f>COUNTA('案件進捗管理'!$B$6:$B$115)</f>
        <v/>
      </c>
      <c r="C8" s="393" t="n"/>
      <c r="D8" s="393" t="n"/>
      <c r="E8" s="394" t="n"/>
      <c r="G8" s="392">
        <f>SUMPRODUCT(('案件進捗管理'!$D$6:$D$115&lt;&gt;"")*('案件進捗管理'!$D$6:$D$115&lt;&gt;"未判定")*('案件進捗管理'!$Q$6:$Q$115&gt;0))</f>
        <v/>
      </c>
      <c r="H8" s="393" t="n"/>
      <c r="I8" s="393" t="n"/>
      <c r="J8" s="394" t="n"/>
      <c r="L8" s="392">
        <f>COUNTIF('案件進捗管理'!$E$6:$E$115,"2. 引継ぎ中")</f>
        <v/>
      </c>
      <c r="M8" s="393" t="n"/>
      <c r="N8" s="393" t="n"/>
      <c r="O8" s="394" t="n"/>
      <c r="Q8" s="392">
        <f>SUMPRODUCT((('案件進捗管理'!$T$6:$T$115=TRUE)+('案件進捗管理'!$T$6:$T$115="TRUE")&gt;0)*1)</f>
        <v/>
      </c>
      <c r="R8" s="393" t="n"/>
      <c r="S8" s="393" t="n"/>
      <c r="T8" s="394" t="n"/>
    </row>
    <row r="9" ht="22" customHeight="1" s="236">
      <c r="B9" s="395" t="inlineStr">
        <is>
          <t>対象 100〜110社</t>
        </is>
      </c>
      <c r="C9" s="396" t="n"/>
      <c r="D9" s="396" t="n"/>
      <c r="E9" s="397" t="n"/>
      <c r="G9" s="395" t="inlineStr">
        <is>
          <t>難易度が判定され、工数が入力済みの社数</t>
        </is>
      </c>
      <c r="H9" s="396" t="n"/>
      <c r="I9" s="396" t="n"/>
      <c r="J9" s="397" t="n"/>
      <c r="L9" s="395" t="inlineStr">
        <is>
          <t>ステータス＝2. 引継ぎ中</t>
        </is>
      </c>
      <c r="M9" s="396" t="n"/>
      <c r="N9" s="396" t="n"/>
      <c r="O9" s="397" t="n"/>
      <c r="Q9" s="395" t="inlineStr">
        <is>
          <t>初回計算完了にチェックが入った社数</t>
        </is>
      </c>
      <c r="R9" s="396" t="n"/>
      <c r="S9" s="396" t="n"/>
      <c r="T9" s="397" t="n"/>
    </row>
    <row r="10" ht="7" customHeight="1" s="236"/>
    <row r="11" ht="28" customHeight="1" s="236">
      <c r="B11" s="389" t="inlineStr">
        <is>
          <t>検証中企業数</t>
        </is>
      </c>
      <c r="C11" s="390" t="n"/>
      <c r="D11" s="390" t="n"/>
      <c r="E11" s="391" t="n"/>
      <c r="G11" s="398" t="inlineStr">
        <is>
          <t>自走可能企業数</t>
        </is>
      </c>
      <c r="H11" s="399" t="n"/>
      <c r="I11" s="399" t="n"/>
      <c r="J11" s="400" t="n"/>
      <c r="L11" s="401" t="inlineStr">
        <is>
          <t>完全移管企業数</t>
        </is>
      </c>
      <c r="M11" s="402" t="n"/>
      <c r="N11" s="402" t="n"/>
      <c r="O11" s="403" t="n"/>
      <c r="Q11" s="389" t="inlineStr">
        <is>
          <t>実運用累計企業数</t>
        </is>
      </c>
      <c r="R11" s="390" t="n"/>
      <c r="S11" s="390" t="n"/>
      <c r="T11" s="391" t="n"/>
    </row>
    <row r="12" ht="34" customHeight="1" s="236">
      <c r="B12" s="392">
        <f>COUNTIF('案件進捗管理'!$E$6:$E$115,"4. 検証中")</f>
        <v/>
      </c>
      <c r="C12" s="393" t="n"/>
      <c r="D12" s="393" t="n"/>
      <c r="E12" s="394" t="n"/>
      <c r="G12" s="404">
        <f>COUNTIFS('案件進捗管理'!$W$6:$W$115,"&gt;0")</f>
        <v/>
      </c>
      <c r="H12" s="393" t="n"/>
      <c r="I12" s="393" t="n"/>
      <c r="J12" s="405" t="n"/>
      <c r="L12" s="406">
        <f>COUNTIFS('案件進捗管理'!$X$6:$X$115,"&gt;0")</f>
        <v/>
      </c>
      <c r="M12" s="393" t="n"/>
      <c r="N12" s="393" t="n"/>
      <c r="O12" s="407" t="n"/>
      <c r="Q12" s="392">
        <f>COUNTIFS('案件進捗管理'!$V$6:$V$115,"&gt;0")</f>
        <v/>
      </c>
      <c r="R12" s="393" t="n"/>
      <c r="S12" s="393" t="n"/>
      <c r="T12" s="394" t="n"/>
    </row>
    <row r="13" ht="22" customHeight="1" s="236">
      <c r="B13" s="395" t="inlineStr">
        <is>
          <t>ステータス＝4. 検証中</t>
        </is>
      </c>
      <c r="C13" s="396" t="n"/>
      <c r="D13" s="396" t="n"/>
      <c r="E13" s="397" t="n"/>
      <c r="G13" s="408" t="inlineStr">
        <is>
          <t>＝担当者単独で処理できた企業数（自走可能日が入力済み）</t>
        </is>
      </c>
      <c r="H13" s="409" t="n"/>
      <c r="I13" s="409" t="n"/>
      <c r="J13" s="410" t="n"/>
      <c r="L13" s="411" t="inlineStr">
        <is>
          <t>＝An-field様の確認が不要だった企業数（完全移管日が入力済み）</t>
        </is>
      </c>
      <c r="M13" s="412" t="n"/>
      <c r="N13" s="412" t="n"/>
      <c r="O13" s="413" t="n"/>
      <c r="Q13" s="395" t="inlineStr">
        <is>
          <t>実運用開始日が入力済みの社数</t>
        </is>
      </c>
      <c r="R13" s="396" t="n"/>
      <c r="S13" s="396" t="n"/>
      <c r="T13" s="397" t="n"/>
    </row>
    <row r="14" ht="7" customHeight="1" s="236"/>
    <row r="15" ht="28" customHeight="1" s="236">
      <c r="B15" s="389" t="inlineStr">
        <is>
          <t>移管済み工数</t>
        </is>
      </c>
      <c r="C15" s="390" t="n"/>
      <c r="D15" s="390" t="n"/>
      <c r="E15" s="391" t="n"/>
      <c r="G15" s="389" t="inlineStr">
        <is>
          <t>残工数</t>
        </is>
      </c>
      <c r="H15" s="390" t="n"/>
      <c r="I15" s="390" t="n"/>
      <c r="J15" s="391" t="n"/>
      <c r="L15" s="389" t="inlineStr">
        <is>
          <t>総実績工数</t>
        </is>
      </c>
      <c r="M15" s="390" t="n"/>
      <c r="N15" s="390" t="n"/>
      <c r="O15" s="391" t="n"/>
      <c r="Q15" s="389" t="inlineStr">
        <is>
          <t>1社あたり平均工数</t>
        </is>
      </c>
      <c r="R15" s="390" t="n"/>
      <c r="S15" s="390" t="n"/>
      <c r="T15" s="391" t="n"/>
    </row>
    <row r="16" ht="34" customHeight="1" s="236">
      <c r="B16" s="414">
        <f>'キャパシティ・必要人数'!$D$27</f>
        <v/>
      </c>
      <c r="C16" s="393" t="n"/>
      <c r="D16" s="393" t="n"/>
      <c r="E16" s="394" t="n"/>
      <c r="G16" s="414">
        <f>'キャパシティ・必要人数'!$D$28</f>
        <v/>
      </c>
      <c r="H16" s="393" t="n"/>
      <c r="I16" s="393" t="n"/>
      <c r="J16" s="394" t="n"/>
      <c r="L16" s="414">
        <f>IF(COUNT('週間スケジュール'!$H$8:$H$24)=0,"",SUM('週間スケジュール'!$H$8:$H$24))</f>
        <v/>
      </c>
      <c r="M16" s="393" t="n"/>
      <c r="N16" s="393" t="n"/>
      <c r="O16" s="394" t="n"/>
      <c r="Q16" s="414">
        <f>IF(COUNTIF('案件進捗管理'!$Q$6:$Q$115,"&gt;0")=0,"",SUM('案件進捗管理'!$Q$6:$Q$115)/COUNTIF('案件進捗管理'!$Q$6:$Q$115,"&gt;0"))</f>
        <v/>
      </c>
      <c r="R16" s="393" t="n"/>
      <c r="S16" s="393" t="n"/>
      <c r="T16" s="394" t="n"/>
    </row>
    <row r="17" ht="22" customHeight="1" s="236">
      <c r="B17" s="395" t="inlineStr">
        <is>
          <t>＝処理できた総工数（実運用開始済み企業の月間工数合計）</t>
        </is>
      </c>
      <c r="C17" s="396" t="n"/>
      <c r="D17" s="396" t="n"/>
      <c r="E17" s="397" t="n"/>
      <c r="G17" s="395" t="inlineStr">
        <is>
          <t>会社別総工数 − 移管済み工数（月）</t>
        </is>
      </c>
      <c r="H17" s="396" t="n"/>
      <c r="I17" s="396" t="n"/>
      <c r="J17" s="397" t="n"/>
      <c r="L17" s="395" t="inlineStr">
        <is>
          <t>週間スケジュールの実績工数の累計</t>
        </is>
      </c>
      <c r="M17" s="396" t="n"/>
      <c r="N17" s="396" t="n"/>
      <c r="O17" s="397" t="n"/>
      <c r="Q17" s="395" t="inlineStr">
        <is>
          <t>工数入力済み社の単純平均（月）。難易度調整後はキャパシティシート参照</t>
        </is>
      </c>
      <c r="R17" s="396" t="n"/>
      <c r="S17" s="396" t="n"/>
      <c r="T17" s="397" t="n"/>
    </row>
    <row r="18" ht="7" customHeight="1" s="236"/>
    <row r="19" ht="28" customHeight="1" s="236">
      <c r="B19" s="389" t="inlineStr">
        <is>
          <t>現在人数</t>
        </is>
      </c>
      <c r="C19" s="390" t="n"/>
      <c r="D19" s="390" t="n"/>
      <c r="E19" s="391" t="n"/>
      <c r="G19" s="415" t="inlineStr">
        <is>
          <t>追加必要人数</t>
        </is>
      </c>
      <c r="H19" s="416" t="n"/>
      <c r="I19" s="416" t="n"/>
      <c r="J19" s="417" t="n"/>
      <c r="L19" s="418" t="inlineStr">
        <is>
          <t>月あたり移管可能件数</t>
        </is>
      </c>
      <c r="M19" s="419" t="n"/>
      <c r="N19" s="419" t="n"/>
      <c r="O19" s="420" t="n"/>
      <c r="Q19" s="398" t="inlineStr">
        <is>
          <t>1人あたり処理可能社数</t>
        </is>
      </c>
      <c r="R19" s="399" t="n"/>
      <c r="S19" s="399" t="n"/>
      <c r="T19" s="400" t="n"/>
    </row>
    <row r="20" ht="34" customHeight="1" s="236">
      <c r="B20" s="421">
        <f>'キャパシティ・必要人数'!$D$10+'キャパシティ・必要人数'!$D$11</f>
        <v/>
      </c>
      <c r="C20" s="393" t="n"/>
      <c r="D20" s="393" t="n"/>
      <c r="E20" s="394" t="n"/>
      <c r="G20" s="422">
        <f>'キャパシティ・必要人数'!$D$38</f>
        <v/>
      </c>
      <c r="H20" s="393" t="n"/>
      <c r="I20" s="393" t="n"/>
      <c r="J20" s="423" t="n"/>
      <c r="L20" s="424">
        <f>'キャパシティ・必要人数'!$D$36</f>
        <v/>
      </c>
      <c r="M20" s="393" t="n"/>
      <c r="N20" s="393" t="n"/>
      <c r="O20" s="425" t="n"/>
      <c r="Q20" s="426">
        <f>'キャパシティ・必要人数'!$D$37</f>
        <v/>
      </c>
      <c r="R20" s="393" t="n"/>
      <c r="S20" s="393" t="n"/>
      <c r="T20" s="405" t="n"/>
    </row>
    <row r="21" ht="22" customHeight="1" s="236">
      <c r="B21" s="395" t="inlineStr">
        <is>
          <t>秘書チーム＋追加ワーカー</t>
        </is>
      </c>
      <c r="C21" s="396" t="n"/>
      <c r="D21" s="396" t="n"/>
      <c r="E21" s="397" t="n"/>
      <c r="G21" s="427" t="inlineStr">
        <is>
          <t>（総必要工数 − 月あたり処理可能工数）÷ 1人あたり処理可能工数（月）</t>
        </is>
      </c>
      <c r="H21" s="428" t="n"/>
      <c r="I21" s="428" t="n"/>
      <c r="J21" s="429" t="n"/>
      <c r="L21" s="430" t="inlineStr">
        <is>
          <t>（月処理可能工数 − 移管済み工数）÷（1社平均工数 ＋ 移管1社あたり追加工数）</t>
        </is>
      </c>
      <c r="M21" s="431" t="n"/>
      <c r="N21" s="431" t="n"/>
      <c r="O21" s="432" t="n"/>
      <c r="Q21" s="408" t="inlineStr">
        <is>
          <t>1人あたり処理可能工数（月）÷ 1社あたり平均工数</t>
        </is>
      </c>
      <c r="R21" s="409" t="n"/>
      <c r="S21" s="409" t="n"/>
      <c r="T21" s="410" t="n"/>
    </row>
    <row r="22" ht="7" customHeight="1" s="236"/>
    <row r="24" ht="22" customHeight="1" s="236">
      <c r="A24" s="357" t="inlineStr">
        <is>
          <t>②　週次データ（グラフ元データ ／ 実績工数のみ手入力）</t>
        </is>
      </c>
      <c r="B24" s="358" t="n"/>
      <c r="C24" s="358" t="n"/>
      <c r="D24" s="358" t="n"/>
      <c r="E24" s="358" t="n"/>
      <c r="F24" s="358" t="n"/>
      <c r="G24" s="358" t="n"/>
      <c r="H24" s="358" t="n"/>
      <c r="I24" s="358" t="n"/>
      <c r="J24" s="358" t="n"/>
      <c r="K24" s="358" t="n"/>
      <c r="L24" s="358" t="n"/>
      <c r="M24" s="358" t="n"/>
      <c r="N24" s="358" t="n"/>
      <c r="O24" s="358" t="n"/>
      <c r="P24" s="358" t="n"/>
      <c r="Q24" s="358" t="n"/>
      <c r="R24" s="358" t="n"/>
      <c r="S24" s="358" t="n"/>
      <c r="T24" s="358" t="n"/>
    </row>
    <row r="25" ht="40" customHeight="1" s="236">
      <c r="B25" s="277" t="inlineStr">
        <is>
          <t>週</t>
        </is>
      </c>
      <c r="C25" s="279" t="n"/>
      <c r="D25" s="277" t="inlineStr">
        <is>
          <t>期間終了日</t>
        </is>
      </c>
      <c r="E25" s="279" t="n"/>
      <c r="F25" s="277" t="inlineStr">
        <is>
          <t>計画実運用累計
（暫定）</t>
        </is>
      </c>
      <c r="G25" s="279" t="n"/>
      <c r="H25" s="277" t="inlineStr">
        <is>
          <t>実績実運用累計
（自動）</t>
        </is>
      </c>
      <c r="I25" s="279" t="n"/>
      <c r="J25" s="277" t="inlineStr">
        <is>
          <t>計画工数
（暫定）</t>
        </is>
      </c>
      <c r="K25" s="279" t="n"/>
      <c r="L25" s="277" t="inlineStr">
        <is>
          <t>実績工数
【入力】</t>
        </is>
      </c>
      <c r="M25" s="279" t="n"/>
      <c r="N25" s="277" t="inlineStr">
        <is>
          <t>移管済み工数
累計（自動）</t>
        </is>
      </c>
      <c r="O25" s="279" t="n"/>
      <c r="P25" s="277" t="inlineStr">
        <is>
          <t>件数進捗率
（自動）</t>
        </is>
      </c>
      <c r="Q25" s="279" t="n"/>
      <c r="R25" s="277" t="inlineStr">
        <is>
          <t>工数進捗率
（自動）</t>
        </is>
      </c>
      <c r="S25" s="279" t="n"/>
      <c r="T25" s="279" t="n"/>
    </row>
    <row r="26" ht="22" customHeight="1" s="236">
      <c r="B26" s="433" t="inlineStr">
        <is>
          <t>第1週</t>
        </is>
      </c>
      <c r="C26" s="434" t="n"/>
      <c r="D26" s="435" t="n">
        <v>46278</v>
      </c>
      <c r="E26" s="434" t="n"/>
      <c r="F26" s="436" t="n">
        <v>0</v>
      </c>
      <c r="G26" s="434" t="n"/>
      <c r="H26" s="437">
        <f>'週間スケジュール'!$F$8</f>
        <v/>
      </c>
      <c r="I26" s="353" t="n"/>
      <c r="J26" s="438">
        <f>'週間スケジュール'!$G$8</f>
        <v/>
      </c>
      <c r="K26" s="434" t="n"/>
      <c r="L26" s="439">
        <f>IF('週間スケジュール'!$H$8="","",'週間スケジュール'!$H$8)</f>
        <v/>
      </c>
      <c r="M26" s="440" t="n"/>
      <c r="N26" s="441">
        <f>SUMPRODUCT(('案件進捗管理'!$V$6:$V$115&lt;&gt;"")*('案件進捗管理'!$V$6:$V$115&lt;=$D26)*'案件進捗管理'!$Q$6:$Q$115)</f>
        <v/>
      </c>
      <c r="O26" s="353" t="n"/>
      <c r="P26" s="442">
        <f>IF('キャパシティ・必要人数'!$D$24=0,"",H26/'キャパシティ・必要人数'!$D$24)</f>
        <v/>
      </c>
      <c r="Q26" s="353" t="n"/>
      <c r="R26" s="443">
        <f>IF('キャパシティ・必要人数'!$D$25=0,"",N26/'キャパシティ・必要人数'!$D$25)</f>
        <v/>
      </c>
      <c r="S26" s="353" t="n"/>
      <c r="T26" s="353" t="n"/>
    </row>
    <row r="27" ht="22" customHeight="1" s="236">
      <c r="B27" s="433" t="inlineStr">
        <is>
          <t>第2週</t>
        </is>
      </c>
      <c r="C27" s="434" t="n"/>
      <c r="D27" s="435" t="n">
        <v>46285</v>
      </c>
      <c r="E27" s="434" t="n"/>
      <c r="F27" s="436" t="n">
        <v>0</v>
      </c>
      <c r="G27" s="434" t="n"/>
      <c r="H27" s="437">
        <f>'週間スケジュール'!$F$9</f>
        <v/>
      </c>
      <c r="I27" s="353" t="n"/>
      <c r="J27" s="438">
        <f>'週間スケジュール'!$G$9</f>
        <v/>
      </c>
      <c r="K27" s="434" t="n"/>
      <c r="L27" s="439">
        <f>IF('週間スケジュール'!$H$9="","",'週間スケジュール'!$H$9)</f>
        <v/>
      </c>
      <c r="M27" s="440" t="n"/>
      <c r="N27" s="441">
        <f>SUMPRODUCT(('案件進捗管理'!$V$6:$V$115&lt;&gt;"")*('案件進捗管理'!$V$6:$V$115&lt;=$D27)*'案件進捗管理'!$Q$6:$Q$115)</f>
        <v/>
      </c>
      <c r="O27" s="353" t="n"/>
      <c r="P27" s="442">
        <f>IF('キャパシティ・必要人数'!$D$24=0,"",H27/'キャパシティ・必要人数'!$D$24)</f>
        <v/>
      </c>
      <c r="Q27" s="353" t="n"/>
      <c r="R27" s="443">
        <f>IF('キャパシティ・必要人数'!$D$25=0,"",N27/'キャパシティ・必要人数'!$D$25)</f>
        <v/>
      </c>
      <c r="S27" s="353" t="n"/>
      <c r="T27" s="353" t="n"/>
    </row>
    <row r="28" ht="22" customHeight="1" s="236">
      <c r="B28" s="433" t="inlineStr">
        <is>
          <t>第3週</t>
        </is>
      </c>
      <c r="C28" s="434" t="n"/>
      <c r="D28" s="435" t="n">
        <v>46292</v>
      </c>
      <c r="E28" s="434" t="n"/>
      <c r="F28" s="436" t="n">
        <v>0</v>
      </c>
      <c r="G28" s="434" t="n"/>
      <c r="H28" s="437">
        <f>'週間スケジュール'!$F$10</f>
        <v/>
      </c>
      <c r="I28" s="353" t="n"/>
      <c r="J28" s="438">
        <f>'週間スケジュール'!$G$10</f>
        <v/>
      </c>
      <c r="K28" s="434" t="n"/>
      <c r="L28" s="439">
        <f>IF('週間スケジュール'!$H$10="","",'週間スケジュール'!$H$10)</f>
        <v/>
      </c>
      <c r="M28" s="440" t="n"/>
      <c r="N28" s="441">
        <f>SUMPRODUCT(('案件進捗管理'!$V$6:$V$115&lt;&gt;"")*('案件進捗管理'!$V$6:$V$115&lt;=$D28)*'案件進捗管理'!$Q$6:$Q$115)</f>
        <v/>
      </c>
      <c r="O28" s="353" t="n"/>
      <c r="P28" s="442">
        <f>IF('キャパシティ・必要人数'!$D$24=0,"",H28/'キャパシティ・必要人数'!$D$24)</f>
        <v/>
      </c>
      <c r="Q28" s="353" t="n"/>
      <c r="R28" s="443">
        <f>IF('キャパシティ・必要人数'!$D$25=0,"",N28/'キャパシティ・必要人数'!$D$25)</f>
        <v/>
      </c>
      <c r="S28" s="353" t="n"/>
      <c r="T28" s="353" t="n"/>
    </row>
    <row r="29" ht="22" customHeight="1" s="236">
      <c r="B29" s="433" t="inlineStr">
        <is>
          <t>第4週</t>
        </is>
      </c>
      <c r="C29" s="434" t="n"/>
      <c r="D29" s="435" t="n">
        <v>46299</v>
      </c>
      <c r="E29" s="434" t="n"/>
      <c r="F29" s="436" t="n">
        <v>7</v>
      </c>
      <c r="G29" s="434" t="n"/>
      <c r="H29" s="437">
        <f>'週間スケジュール'!$F$11</f>
        <v/>
      </c>
      <c r="I29" s="353" t="n"/>
      <c r="J29" s="438">
        <f>'週間スケジュール'!$G$11</f>
        <v/>
      </c>
      <c r="K29" s="434" t="n"/>
      <c r="L29" s="439">
        <f>IF('週間スケジュール'!$H$11="","",'週間スケジュール'!$H$11)</f>
        <v/>
      </c>
      <c r="M29" s="440" t="n"/>
      <c r="N29" s="441">
        <f>SUMPRODUCT(('案件進捗管理'!$V$6:$V$115&lt;&gt;"")*('案件進捗管理'!$V$6:$V$115&lt;=$D29)*'案件進捗管理'!$Q$6:$Q$115)</f>
        <v/>
      </c>
      <c r="O29" s="353" t="n"/>
      <c r="P29" s="442">
        <f>IF('キャパシティ・必要人数'!$D$24=0,"",H29/'キャパシティ・必要人数'!$D$24)</f>
        <v/>
      </c>
      <c r="Q29" s="353" t="n"/>
      <c r="R29" s="443">
        <f>IF('キャパシティ・必要人数'!$D$25=0,"",N29/'キャパシティ・必要人数'!$D$25)</f>
        <v/>
      </c>
      <c r="S29" s="353" t="n"/>
      <c r="T29" s="353" t="n"/>
    </row>
    <row r="30" ht="22" customHeight="1" s="236">
      <c r="B30" s="433" t="inlineStr">
        <is>
          <t>第5週</t>
        </is>
      </c>
      <c r="C30" s="434" t="n"/>
      <c r="D30" s="435" t="n">
        <v>46306</v>
      </c>
      <c r="E30" s="434" t="n"/>
      <c r="F30" s="436" t="n">
        <v>12</v>
      </c>
      <c r="G30" s="434" t="n"/>
      <c r="H30" s="437">
        <f>'週間スケジュール'!$F$12</f>
        <v/>
      </c>
      <c r="I30" s="353" t="n"/>
      <c r="J30" s="438">
        <f>'週間スケジュール'!$G$12</f>
        <v/>
      </c>
      <c r="K30" s="434" t="n"/>
      <c r="L30" s="439">
        <f>IF('週間スケジュール'!$H$12="","",'週間スケジュール'!$H$12)</f>
        <v/>
      </c>
      <c r="M30" s="440" t="n"/>
      <c r="N30" s="441">
        <f>SUMPRODUCT(('案件進捗管理'!$V$6:$V$115&lt;&gt;"")*('案件進捗管理'!$V$6:$V$115&lt;=$D30)*'案件進捗管理'!$Q$6:$Q$115)</f>
        <v/>
      </c>
      <c r="O30" s="353" t="n"/>
      <c r="P30" s="442">
        <f>IF('キャパシティ・必要人数'!$D$24=0,"",H30/'キャパシティ・必要人数'!$D$24)</f>
        <v/>
      </c>
      <c r="Q30" s="353" t="n"/>
      <c r="R30" s="443">
        <f>IF('キャパシティ・必要人数'!$D$25=0,"",N30/'キャパシティ・必要人数'!$D$25)</f>
        <v/>
      </c>
      <c r="S30" s="353" t="n"/>
      <c r="T30" s="353" t="n"/>
    </row>
    <row r="31" ht="22" customHeight="1" s="236">
      <c r="B31" s="433" t="inlineStr">
        <is>
          <t>第6週</t>
        </is>
      </c>
      <c r="C31" s="434" t="n"/>
      <c r="D31" s="435" t="n">
        <v>46313</v>
      </c>
      <c r="E31" s="434" t="n"/>
      <c r="F31" s="436" t="n">
        <v>17</v>
      </c>
      <c r="G31" s="434" t="n"/>
      <c r="H31" s="437">
        <f>'週間スケジュール'!$F$13</f>
        <v/>
      </c>
      <c r="I31" s="353" t="n"/>
      <c r="J31" s="438">
        <f>'週間スケジュール'!$G$13</f>
        <v/>
      </c>
      <c r="K31" s="434" t="n"/>
      <c r="L31" s="439">
        <f>IF('週間スケジュール'!$H$13="","",'週間スケジュール'!$H$13)</f>
        <v/>
      </c>
      <c r="M31" s="440" t="n"/>
      <c r="N31" s="441">
        <f>SUMPRODUCT(('案件進捗管理'!$V$6:$V$115&lt;&gt;"")*('案件進捗管理'!$V$6:$V$115&lt;=$D31)*'案件進捗管理'!$Q$6:$Q$115)</f>
        <v/>
      </c>
      <c r="O31" s="353" t="n"/>
      <c r="P31" s="442">
        <f>IF('キャパシティ・必要人数'!$D$24=0,"",H31/'キャパシティ・必要人数'!$D$24)</f>
        <v/>
      </c>
      <c r="Q31" s="353" t="n"/>
      <c r="R31" s="443">
        <f>IF('キャパシティ・必要人数'!$D$25=0,"",N31/'キャパシティ・必要人数'!$D$25)</f>
        <v/>
      </c>
      <c r="S31" s="353" t="n"/>
      <c r="T31" s="353" t="n"/>
    </row>
    <row r="32" ht="22" customHeight="1" s="236">
      <c r="B32" s="433" t="inlineStr">
        <is>
          <t>第7週</t>
        </is>
      </c>
      <c r="C32" s="434" t="n"/>
      <c r="D32" s="435" t="n">
        <v>46320</v>
      </c>
      <c r="E32" s="434" t="n"/>
      <c r="F32" s="436" t="n">
        <v>25</v>
      </c>
      <c r="G32" s="434" t="n"/>
      <c r="H32" s="437">
        <f>'週間スケジュール'!$F$14</f>
        <v/>
      </c>
      <c r="I32" s="353" t="n"/>
      <c r="J32" s="438">
        <f>'週間スケジュール'!$G$14</f>
        <v/>
      </c>
      <c r="K32" s="434" t="n"/>
      <c r="L32" s="439">
        <f>IF('週間スケジュール'!$H$14="","",'週間スケジュール'!$H$14)</f>
        <v/>
      </c>
      <c r="M32" s="440" t="n"/>
      <c r="N32" s="441">
        <f>SUMPRODUCT(('案件進捗管理'!$V$6:$V$115&lt;&gt;"")*('案件進捗管理'!$V$6:$V$115&lt;=$D32)*'案件進捗管理'!$Q$6:$Q$115)</f>
        <v/>
      </c>
      <c r="O32" s="353" t="n"/>
      <c r="P32" s="442">
        <f>IF('キャパシティ・必要人数'!$D$24=0,"",H32/'キャパシティ・必要人数'!$D$24)</f>
        <v/>
      </c>
      <c r="Q32" s="353" t="n"/>
      <c r="R32" s="443">
        <f>IF('キャパシティ・必要人数'!$D$25=0,"",N32/'キャパシティ・必要人数'!$D$25)</f>
        <v/>
      </c>
      <c r="S32" s="353" t="n"/>
      <c r="T32" s="353" t="n"/>
    </row>
    <row r="33" ht="22" customHeight="1" s="236">
      <c r="B33" s="433" t="inlineStr">
        <is>
          <t>第8週</t>
        </is>
      </c>
      <c r="C33" s="434" t="n"/>
      <c r="D33" s="435" t="n">
        <v>46326</v>
      </c>
      <c r="E33" s="434" t="n"/>
      <c r="F33" s="436" t="n">
        <v>30</v>
      </c>
      <c r="G33" s="434" t="n"/>
      <c r="H33" s="437">
        <f>'週間スケジュール'!$F$15</f>
        <v/>
      </c>
      <c r="I33" s="353" t="n"/>
      <c r="J33" s="438">
        <f>'週間スケジュール'!$G$15</f>
        <v/>
      </c>
      <c r="K33" s="434" t="n"/>
      <c r="L33" s="439">
        <f>IF('週間スケジュール'!$H$15="","",'週間スケジュール'!$H$15)</f>
        <v/>
      </c>
      <c r="M33" s="440" t="n"/>
      <c r="N33" s="441">
        <f>SUMPRODUCT(('案件進捗管理'!$V$6:$V$115&lt;&gt;"")*('案件進捗管理'!$V$6:$V$115&lt;=$D33)*'案件進捗管理'!$Q$6:$Q$115)</f>
        <v/>
      </c>
      <c r="O33" s="353" t="n"/>
      <c r="P33" s="442">
        <f>IF('キャパシティ・必要人数'!$D$24=0,"",H33/'キャパシティ・必要人数'!$D$24)</f>
        <v/>
      </c>
      <c r="Q33" s="353" t="n"/>
      <c r="R33" s="443">
        <f>IF('キャパシティ・必要人数'!$D$25=0,"",N33/'キャパシティ・必要人数'!$D$25)</f>
        <v/>
      </c>
      <c r="S33" s="353" t="n"/>
      <c r="T33" s="353" t="n"/>
    </row>
    <row r="34" ht="22" customHeight="1" s="236">
      <c r="B34" s="433" t="inlineStr">
        <is>
          <t>第9週</t>
        </is>
      </c>
      <c r="C34" s="434" t="n"/>
      <c r="D34" s="435" t="n">
        <v>46334</v>
      </c>
      <c r="E34" s="434" t="n"/>
      <c r="F34" s="436" t="n">
        <v>35</v>
      </c>
      <c r="G34" s="434" t="n"/>
      <c r="H34" s="437">
        <f>'週間スケジュール'!$F$16</f>
        <v/>
      </c>
      <c r="I34" s="353" t="n"/>
      <c r="J34" s="438">
        <f>'週間スケジュール'!$G$16</f>
        <v/>
      </c>
      <c r="K34" s="434" t="n"/>
      <c r="L34" s="439">
        <f>IF('週間スケジュール'!$H$16="","",'週間スケジュール'!$H$16)</f>
        <v/>
      </c>
      <c r="M34" s="440" t="n"/>
      <c r="N34" s="441">
        <f>SUMPRODUCT(('案件進捗管理'!$V$6:$V$115&lt;&gt;"")*('案件進捗管理'!$V$6:$V$115&lt;=$D34)*'案件進捗管理'!$Q$6:$Q$115)</f>
        <v/>
      </c>
      <c r="O34" s="353" t="n"/>
      <c r="P34" s="442">
        <f>IF('キャパシティ・必要人数'!$D$24=0,"",H34/'キャパシティ・必要人数'!$D$24)</f>
        <v/>
      </c>
      <c r="Q34" s="353" t="n"/>
      <c r="R34" s="443">
        <f>IF('キャパシティ・必要人数'!$D$25=0,"",N34/'キャパシティ・必要人数'!$D$25)</f>
        <v/>
      </c>
      <c r="S34" s="353" t="n"/>
      <c r="T34" s="353" t="n"/>
    </row>
    <row r="35" ht="22" customHeight="1" s="236">
      <c r="B35" s="433" t="inlineStr">
        <is>
          <t>第10週</t>
        </is>
      </c>
      <c r="C35" s="434" t="n"/>
      <c r="D35" s="435" t="n">
        <v>46341</v>
      </c>
      <c r="E35" s="434" t="n"/>
      <c r="F35" s="436" t="n">
        <v>40</v>
      </c>
      <c r="G35" s="434" t="n"/>
      <c r="H35" s="437">
        <f>'週間スケジュール'!$F$17</f>
        <v/>
      </c>
      <c r="I35" s="353" t="n"/>
      <c r="J35" s="438">
        <f>'週間スケジュール'!$G$17</f>
        <v/>
      </c>
      <c r="K35" s="434" t="n"/>
      <c r="L35" s="439">
        <f>IF('週間スケジュール'!$H$17="","",'週間スケジュール'!$H$17)</f>
        <v/>
      </c>
      <c r="M35" s="440" t="n"/>
      <c r="N35" s="441">
        <f>SUMPRODUCT(('案件進捗管理'!$V$6:$V$115&lt;&gt;"")*('案件進捗管理'!$V$6:$V$115&lt;=$D35)*'案件進捗管理'!$Q$6:$Q$115)</f>
        <v/>
      </c>
      <c r="O35" s="353" t="n"/>
      <c r="P35" s="442">
        <f>IF('キャパシティ・必要人数'!$D$24=0,"",H35/'キャパシティ・必要人数'!$D$24)</f>
        <v/>
      </c>
      <c r="Q35" s="353" t="n"/>
      <c r="R35" s="443">
        <f>IF('キャパシティ・必要人数'!$D$25=0,"",N35/'キャパシティ・必要人数'!$D$25)</f>
        <v/>
      </c>
      <c r="S35" s="353" t="n"/>
      <c r="T35" s="353" t="n"/>
    </row>
    <row r="36" ht="22" customHeight="1" s="236">
      <c r="B36" s="433" t="inlineStr">
        <is>
          <t>第11週</t>
        </is>
      </c>
      <c r="C36" s="434" t="n"/>
      <c r="D36" s="435" t="n">
        <v>46348</v>
      </c>
      <c r="E36" s="434" t="n"/>
      <c r="F36" s="436" t="n">
        <v>45</v>
      </c>
      <c r="G36" s="434" t="n"/>
      <c r="H36" s="437">
        <f>'週間スケジュール'!$F$18</f>
        <v/>
      </c>
      <c r="I36" s="353" t="n"/>
      <c r="J36" s="438">
        <f>'週間スケジュール'!$G$18</f>
        <v/>
      </c>
      <c r="K36" s="434" t="n"/>
      <c r="L36" s="439">
        <f>IF('週間スケジュール'!$H$18="","",'週間スケジュール'!$H$18)</f>
        <v/>
      </c>
      <c r="M36" s="440" t="n"/>
      <c r="N36" s="441">
        <f>SUMPRODUCT(('案件進捗管理'!$V$6:$V$115&lt;&gt;"")*('案件進捗管理'!$V$6:$V$115&lt;=$D36)*'案件進捗管理'!$Q$6:$Q$115)</f>
        <v/>
      </c>
      <c r="O36" s="353" t="n"/>
      <c r="P36" s="442">
        <f>IF('キャパシティ・必要人数'!$D$24=0,"",H36/'キャパシティ・必要人数'!$D$24)</f>
        <v/>
      </c>
      <c r="Q36" s="353" t="n"/>
      <c r="R36" s="443">
        <f>IF('キャパシティ・必要人数'!$D$25=0,"",N36/'キャパシティ・必要人数'!$D$25)</f>
        <v/>
      </c>
      <c r="S36" s="353" t="n"/>
      <c r="T36" s="353" t="n"/>
    </row>
    <row r="37" ht="22" customHeight="1" s="236">
      <c r="B37" s="433" t="inlineStr">
        <is>
          <t>第12週</t>
        </is>
      </c>
      <c r="C37" s="434" t="n"/>
      <c r="D37" s="435" t="n">
        <v>46355</v>
      </c>
      <c r="E37" s="434" t="n"/>
      <c r="F37" s="436" t="n">
        <v>50</v>
      </c>
      <c r="G37" s="434" t="n"/>
      <c r="H37" s="437">
        <f>'週間スケジュール'!$F$19</f>
        <v/>
      </c>
      <c r="I37" s="353" t="n"/>
      <c r="J37" s="438">
        <f>'週間スケジュール'!$G$19</f>
        <v/>
      </c>
      <c r="K37" s="434" t="n"/>
      <c r="L37" s="439">
        <f>IF('週間スケジュール'!$H$19="","",'週間スケジュール'!$H$19)</f>
        <v/>
      </c>
      <c r="M37" s="440" t="n"/>
      <c r="N37" s="441">
        <f>SUMPRODUCT(('案件進捗管理'!$V$6:$V$115&lt;&gt;"")*('案件進捗管理'!$V$6:$V$115&lt;=$D37)*'案件進捗管理'!$Q$6:$Q$115)</f>
        <v/>
      </c>
      <c r="O37" s="353" t="n"/>
      <c r="P37" s="442">
        <f>IF('キャパシティ・必要人数'!$D$24=0,"",H37/'キャパシティ・必要人数'!$D$24)</f>
        <v/>
      </c>
      <c r="Q37" s="353" t="n"/>
      <c r="R37" s="443">
        <f>IF('キャパシティ・必要人数'!$D$25=0,"",N37/'キャパシティ・必要人数'!$D$25)</f>
        <v/>
      </c>
      <c r="S37" s="353" t="n"/>
      <c r="T37" s="353" t="n"/>
    </row>
    <row r="38" ht="22" customHeight="1" s="236">
      <c r="B38" s="433" t="inlineStr">
        <is>
          <t>第13週</t>
        </is>
      </c>
      <c r="C38" s="434" t="n"/>
      <c r="D38" s="435" t="n">
        <v>46362</v>
      </c>
      <c r="E38" s="434" t="n"/>
      <c r="F38" s="436" t="n">
        <v>55</v>
      </c>
      <c r="G38" s="434" t="n"/>
      <c r="H38" s="437">
        <f>'週間スケジュール'!$F$20</f>
        <v/>
      </c>
      <c r="I38" s="353" t="n"/>
      <c r="J38" s="438">
        <f>'週間スケジュール'!$G$20</f>
        <v/>
      </c>
      <c r="K38" s="434" t="n"/>
      <c r="L38" s="439">
        <f>IF('週間スケジュール'!$H$20="","",'週間スケジュール'!$H$20)</f>
        <v/>
      </c>
      <c r="M38" s="440" t="n"/>
      <c r="N38" s="441">
        <f>SUMPRODUCT(('案件進捗管理'!$V$6:$V$115&lt;&gt;"")*('案件進捗管理'!$V$6:$V$115&lt;=$D38)*'案件進捗管理'!$Q$6:$Q$115)</f>
        <v/>
      </c>
      <c r="O38" s="353" t="n"/>
      <c r="P38" s="442">
        <f>IF('キャパシティ・必要人数'!$D$24=0,"",H38/'キャパシティ・必要人数'!$D$24)</f>
        <v/>
      </c>
      <c r="Q38" s="353" t="n"/>
      <c r="R38" s="443">
        <f>IF('キャパシティ・必要人数'!$D$25=0,"",N38/'キャパシティ・必要人数'!$D$25)</f>
        <v/>
      </c>
      <c r="S38" s="353" t="n"/>
      <c r="T38" s="353" t="n"/>
    </row>
    <row r="39" ht="22" customHeight="1" s="236">
      <c r="B39" s="433" t="inlineStr">
        <is>
          <t>第14週</t>
        </is>
      </c>
      <c r="C39" s="434" t="n"/>
      <c r="D39" s="435" t="n">
        <v>46369</v>
      </c>
      <c r="E39" s="434" t="n"/>
      <c r="F39" s="436" t="n">
        <v>60</v>
      </c>
      <c r="G39" s="434" t="n"/>
      <c r="H39" s="437">
        <f>'週間スケジュール'!$F$21</f>
        <v/>
      </c>
      <c r="I39" s="353" t="n"/>
      <c r="J39" s="438">
        <f>'週間スケジュール'!$G$21</f>
        <v/>
      </c>
      <c r="K39" s="434" t="n"/>
      <c r="L39" s="439">
        <f>IF('週間スケジュール'!$H$21="","",'週間スケジュール'!$H$21)</f>
        <v/>
      </c>
      <c r="M39" s="440" t="n"/>
      <c r="N39" s="441">
        <f>SUMPRODUCT(('案件進捗管理'!$V$6:$V$115&lt;&gt;"")*('案件進捗管理'!$V$6:$V$115&lt;=$D39)*'案件進捗管理'!$Q$6:$Q$115)</f>
        <v/>
      </c>
      <c r="O39" s="353" t="n"/>
      <c r="P39" s="442">
        <f>IF('キャパシティ・必要人数'!$D$24=0,"",H39/'キャパシティ・必要人数'!$D$24)</f>
        <v/>
      </c>
      <c r="Q39" s="353" t="n"/>
      <c r="R39" s="443">
        <f>IF('キャパシティ・必要人数'!$D$25=0,"",N39/'キャパシティ・必要人数'!$D$25)</f>
        <v/>
      </c>
      <c r="S39" s="353" t="n"/>
      <c r="T39" s="353" t="n"/>
    </row>
    <row r="40" ht="22" customHeight="1" s="236">
      <c r="B40" s="433" t="inlineStr">
        <is>
          <t>第15週</t>
        </is>
      </c>
      <c r="C40" s="434" t="n"/>
      <c r="D40" s="435" t="n">
        <v>46376</v>
      </c>
      <c r="E40" s="434" t="n"/>
      <c r="F40" s="436" t="n">
        <v>65</v>
      </c>
      <c r="G40" s="434" t="n"/>
      <c r="H40" s="437">
        <f>'週間スケジュール'!$F$22</f>
        <v/>
      </c>
      <c r="I40" s="353" t="n"/>
      <c r="J40" s="438">
        <f>'週間スケジュール'!$G$22</f>
        <v/>
      </c>
      <c r="K40" s="434" t="n"/>
      <c r="L40" s="439">
        <f>IF('週間スケジュール'!$H$22="","",'週間スケジュール'!$H$22)</f>
        <v/>
      </c>
      <c r="M40" s="440" t="n"/>
      <c r="N40" s="441">
        <f>SUMPRODUCT(('案件進捗管理'!$V$6:$V$115&lt;&gt;"")*('案件進捗管理'!$V$6:$V$115&lt;=$D40)*'案件進捗管理'!$Q$6:$Q$115)</f>
        <v/>
      </c>
      <c r="O40" s="353" t="n"/>
      <c r="P40" s="442">
        <f>IF('キャパシティ・必要人数'!$D$24=0,"",H40/'キャパシティ・必要人数'!$D$24)</f>
        <v/>
      </c>
      <c r="Q40" s="353" t="n"/>
      <c r="R40" s="443">
        <f>IF('キャパシティ・必要人数'!$D$25=0,"",N40/'キャパシティ・必要人数'!$D$25)</f>
        <v/>
      </c>
      <c r="S40" s="353" t="n"/>
      <c r="T40" s="353" t="n"/>
    </row>
    <row r="41" ht="22" customHeight="1" s="236">
      <c r="B41" s="433" t="inlineStr">
        <is>
          <t>第16週</t>
        </is>
      </c>
      <c r="C41" s="434" t="n"/>
      <c r="D41" s="435" t="n">
        <v>46383</v>
      </c>
      <c r="E41" s="434" t="n"/>
      <c r="F41" s="436" t="n">
        <v>70</v>
      </c>
      <c r="G41" s="434" t="n"/>
      <c r="H41" s="437">
        <f>'週間スケジュール'!$F$23</f>
        <v/>
      </c>
      <c r="I41" s="353" t="n"/>
      <c r="J41" s="438">
        <f>'週間スケジュール'!$G$23</f>
        <v/>
      </c>
      <c r="K41" s="434" t="n"/>
      <c r="L41" s="439">
        <f>IF('週間スケジュール'!$H$23="","",'週間スケジュール'!$H$23)</f>
        <v/>
      </c>
      <c r="M41" s="440" t="n"/>
      <c r="N41" s="441">
        <f>SUMPRODUCT(('案件進捗管理'!$V$6:$V$115&lt;&gt;"")*('案件進捗管理'!$V$6:$V$115&lt;=$D41)*'案件進捗管理'!$Q$6:$Q$115)</f>
        <v/>
      </c>
      <c r="O41" s="353" t="n"/>
      <c r="P41" s="442">
        <f>IF('キャパシティ・必要人数'!$D$24=0,"",H41/'キャパシティ・必要人数'!$D$24)</f>
        <v/>
      </c>
      <c r="Q41" s="353" t="n"/>
      <c r="R41" s="443">
        <f>IF('キャパシティ・必要人数'!$D$25=0,"",N41/'キャパシティ・必要人数'!$D$25)</f>
        <v/>
      </c>
      <c r="S41" s="353" t="n"/>
      <c r="T41" s="353" t="n"/>
    </row>
    <row r="42" ht="22" customHeight="1" s="236">
      <c r="B42" s="433" t="inlineStr">
        <is>
          <t>第17週</t>
        </is>
      </c>
      <c r="C42" s="434" t="n"/>
      <c r="D42" s="435" t="n">
        <v>46387</v>
      </c>
      <c r="E42" s="434" t="n"/>
      <c r="F42" s="436" t="n">
        <v>75</v>
      </c>
      <c r="G42" s="434" t="n"/>
      <c r="H42" s="437">
        <f>'週間スケジュール'!$F$24</f>
        <v/>
      </c>
      <c r="I42" s="353" t="n"/>
      <c r="J42" s="438">
        <f>'週間スケジュール'!$G$24</f>
        <v/>
      </c>
      <c r="K42" s="434" t="n"/>
      <c r="L42" s="439">
        <f>IF('週間スケジュール'!$H$24="","",'週間スケジュール'!$H$24)</f>
        <v/>
      </c>
      <c r="M42" s="440" t="n"/>
      <c r="N42" s="441">
        <f>SUMPRODUCT(('案件進捗管理'!$V$6:$V$115&lt;&gt;"")*('案件進捗管理'!$V$6:$V$115&lt;=$D42)*'案件進捗管理'!$Q$6:$Q$115)</f>
        <v/>
      </c>
      <c r="O42" s="353" t="n"/>
      <c r="P42" s="442">
        <f>IF('キャパシティ・必要人数'!$D$24=0,"",H42/'キャパシティ・必要人数'!$D$24)</f>
        <v/>
      </c>
      <c r="Q42" s="353" t="n"/>
      <c r="R42" s="443">
        <f>IF('キャパシティ・必要人数'!$D$25=0,"",N42/'キャパシティ・必要人数'!$D$25)</f>
        <v/>
      </c>
      <c r="S42" s="353" t="n"/>
      <c r="T42" s="353" t="n"/>
    </row>
    <row r="43" ht="24" customHeight="1" s="236">
      <c r="B43" s="444" t="inlineStr">
        <is>
          <t>合計 / 最終</t>
        </is>
      </c>
      <c r="C43" s="268" t="n"/>
      <c r="D43" s="268" t="n"/>
      <c r="E43" s="268" t="n"/>
      <c r="F43" s="445">
        <f>MAX(F26:F42)</f>
        <v/>
      </c>
      <c r="G43" s="268" t="n"/>
      <c r="H43" s="445">
        <f>MAX(H26:H42)</f>
        <v/>
      </c>
      <c r="I43" s="268" t="n"/>
      <c r="J43" s="446">
        <f>SUM(J26:J42)</f>
        <v/>
      </c>
      <c r="K43" s="268" t="n"/>
      <c r="L43" s="447">
        <f>IF(COUNT(L26:L42)=0,"",SUM(L26:L42))</f>
        <v/>
      </c>
      <c r="M43" s="268" t="n"/>
      <c r="N43" s="447">
        <f>MAX(N26:N42)</f>
        <v/>
      </c>
      <c r="O43" s="268" t="n"/>
      <c r="P43" s="448">
        <f>MAX(P26:P42)</f>
        <v/>
      </c>
      <c r="Q43" s="268" t="n"/>
      <c r="R43" s="448">
        <f>MAX(R26:R42)</f>
        <v/>
      </c>
      <c r="S43" s="268" t="n"/>
      <c r="T43" s="268" t="n"/>
    </row>
    <row r="45" ht="22" customHeight="1" s="236">
      <c r="A45" s="357" t="inlineStr">
        <is>
          <t>③　移管ステータス別 企業数（グラフ①元データ）</t>
        </is>
      </c>
      <c r="B45" s="358" t="n"/>
      <c r="C45" s="358" t="n"/>
      <c r="D45" s="358" t="n"/>
      <c r="E45" s="358" t="n"/>
      <c r="F45" s="358" t="n"/>
      <c r="G45" s="358" t="n"/>
      <c r="H45" s="358" t="n"/>
      <c r="I45" s="358" t="n"/>
      <c r="J45" s="358" t="n"/>
      <c r="K45" s="358" t="n"/>
      <c r="L45" s="358" t="n"/>
      <c r="M45" s="358" t="n"/>
      <c r="N45" s="358" t="n"/>
      <c r="O45" s="358" t="n"/>
      <c r="P45" s="358" t="n"/>
      <c r="Q45" s="358" t="n"/>
      <c r="R45" s="358" t="n"/>
      <c r="S45" s="358" t="n"/>
      <c r="T45" s="358" t="n"/>
    </row>
    <row r="47" ht="30" customHeight="1" s="236">
      <c r="B47" s="449" t="inlineStr">
        <is>
          <t>区分</t>
        </is>
      </c>
      <c r="C47" s="277" t="inlineStr">
        <is>
          <t>1. 未着手</t>
        </is>
      </c>
      <c r="D47" s="277" t="inlineStr">
        <is>
          <t>2. 引継ぎ中</t>
        </is>
      </c>
      <c r="E47" s="277" t="inlineStr">
        <is>
          <t>3. 初回計算</t>
        </is>
      </c>
      <c r="F47" s="277" t="inlineStr">
        <is>
          <t>4. 検証中</t>
        </is>
      </c>
      <c r="G47" s="277" t="inlineStr">
        <is>
          <t>5. 自走可能</t>
        </is>
      </c>
      <c r="H47" s="277" t="inlineStr">
        <is>
          <t>6. 完全移管</t>
        </is>
      </c>
    </row>
    <row r="48">
      <c r="B48" s="450" t="inlineStr">
        <is>
          <t>全社</t>
        </is>
      </c>
      <c r="C48" s="451">
        <f>COUNTIF('案件進捗管理'!$E$6:$E$115,"1. 未着手")</f>
        <v/>
      </c>
      <c r="D48" s="452">
        <f>COUNTIF('案件進捗管理'!$E$6:$E$115,"2. 引継ぎ中")</f>
        <v/>
      </c>
      <c r="E48" s="453">
        <f>COUNTIF('案件進捗管理'!$E$6:$E$115,"3. 初回計算")</f>
        <v/>
      </c>
      <c r="F48" s="454">
        <f>COUNTIF('案件進捗管理'!$E$6:$E$115,"4. 検証中")</f>
        <v/>
      </c>
      <c r="G48" s="455">
        <f>COUNTIF('案件進捗管理'!$E$6:$E$115,"5. 自走可能")</f>
        <v/>
      </c>
      <c r="H48" s="456">
        <f>COUNTIF('案件進捗管理'!$E$6:$E$115,"6. 完全移管")</f>
        <v/>
      </c>
    </row>
    <row r="49">
      <c r="B49" s="450" t="inlineStr">
        <is>
          <t>構成比</t>
        </is>
      </c>
      <c r="C49" s="457">
        <f>IF('キャパシティ・必要人数'!$D$24=0,"",C48/'キャパシティ・必要人数'!$D$24)</f>
        <v/>
      </c>
      <c r="D49" s="457">
        <f>IF('キャパシティ・必要人数'!$D$24=0,"",D48/'キャパシティ・必要人数'!$D$24)</f>
        <v/>
      </c>
      <c r="E49" s="457">
        <f>IF('キャパシティ・必要人数'!$D$24=0,"",E48/'キャパシティ・必要人数'!$D$24)</f>
        <v/>
      </c>
      <c r="F49" s="457">
        <f>IF('キャパシティ・必要人数'!$D$24=0,"",F48/'キャパシティ・必要人数'!$D$24)</f>
        <v/>
      </c>
      <c r="G49" s="457">
        <f>IF('キャパシティ・必要人数'!$D$24=0,"",G48/'キャパシティ・必要人数'!$D$24)</f>
        <v/>
      </c>
      <c r="H49" s="457">
        <f>IF('キャパシティ・必要人数'!$D$24=0,"",H48/'キャパシティ・必要人数'!$D$24)</f>
        <v/>
      </c>
    </row>
    <row r="51" ht="22" customHeight="1" s="236">
      <c r="A51" s="357" t="inlineStr">
        <is>
          <t>④　処理能力比較（グラフ④元データ）</t>
        </is>
      </c>
      <c r="B51" s="358" t="n"/>
      <c r="C51" s="358" t="n"/>
      <c r="D51" s="358" t="n"/>
      <c r="E51" s="358" t="n"/>
      <c r="F51" s="358" t="n"/>
      <c r="G51" s="358" t="n"/>
      <c r="H51" s="358" t="n"/>
      <c r="I51" s="358" t="n"/>
      <c r="J51" s="358" t="n"/>
      <c r="K51" s="358" t="n"/>
      <c r="L51" s="358" t="n"/>
      <c r="M51" s="358" t="n"/>
      <c r="N51" s="358" t="n"/>
      <c r="O51" s="358" t="n"/>
      <c r="P51" s="358" t="n"/>
      <c r="Q51" s="358" t="n"/>
      <c r="R51" s="358" t="n"/>
      <c r="S51" s="358" t="n"/>
      <c r="T51" s="358" t="n"/>
    </row>
    <row r="52">
      <c r="B52" s="449" t="inlineStr">
        <is>
          <t>区分</t>
        </is>
      </c>
      <c r="C52" s="449" t="inlineStr">
        <is>
          <t>月あたり工数（h）</t>
        </is>
      </c>
    </row>
    <row r="53">
      <c r="B53" s="450" t="inlineStr">
        <is>
          <t>現在処理能力（月）</t>
        </is>
      </c>
      <c r="C53" s="458">
        <f>'キャパシティ・必要人数'!$D$32</f>
        <v/>
      </c>
      <c r="D53" s="459" t="inlineStr">
        <is>
          <t>必要処理能力が現在処理能力を上回る場合は増員が必要です。不足分 ÷ 1人あたり月間有効稼働時間 ＝ 追加必要人数（キャパシティシートで自動算出）。</t>
        </is>
      </c>
    </row>
    <row r="54">
      <c r="B54" s="450" t="inlineStr">
        <is>
          <t>必要処理能力（月）</t>
        </is>
      </c>
      <c r="C54" s="460">
        <f>'キャパシティ・必要人数'!$D$26</f>
        <v/>
      </c>
    </row>
    <row r="56" ht="22" customHeight="1" s="236">
      <c r="A56" s="357" t="inlineStr">
        <is>
          <t>⑤　グラフ（①ステータス別／②実運用推移／③工数 計画vs実績／④処理能力／⑤件数進捗vs工数進捗）</t>
        </is>
      </c>
      <c r="B56" s="358" t="n"/>
      <c r="C56" s="358" t="n"/>
      <c r="D56" s="358" t="n"/>
      <c r="E56" s="358" t="n"/>
      <c r="F56" s="358" t="n"/>
      <c r="G56" s="358" t="n"/>
      <c r="H56" s="358" t="n"/>
      <c r="I56" s="358" t="n"/>
      <c r="J56" s="358" t="n"/>
      <c r="K56" s="358" t="n"/>
      <c r="L56" s="358" t="n"/>
      <c r="M56" s="358" t="n"/>
      <c r="N56" s="358" t="n"/>
      <c r="O56" s="358" t="n"/>
      <c r="P56" s="358" t="n"/>
      <c r="Q56" s="358" t="n"/>
      <c r="R56" s="358" t="n"/>
      <c r="S56" s="358" t="n"/>
      <c r="T56" s="358" t="n"/>
    </row>
    <row r="57" ht="15" customHeight="1" s="236"/>
    <row r="58" ht="15" customHeight="1" s="236"/>
    <row r="59" ht="15" customHeight="1" s="236"/>
    <row r="60" ht="15" customHeight="1" s="236"/>
    <row r="61" ht="15" customHeight="1" s="236"/>
    <row r="62" ht="15" customHeight="1" s="236"/>
    <row r="63" ht="15" customHeight="1" s="236"/>
    <row r="64" ht="15" customHeight="1" s="236"/>
    <row r="65" ht="15" customHeight="1" s="236"/>
    <row r="66" ht="15" customHeight="1" s="236"/>
    <row r="67" ht="15" customHeight="1" s="236"/>
    <row r="68" ht="15" customHeight="1" s="236"/>
    <row r="69" ht="15" customHeight="1" s="236"/>
    <row r="70" ht="15" customHeight="1" s="236"/>
    <row r="71" ht="15" customHeight="1" s="236"/>
    <row r="72" ht="15" customHeight="1" s="236"/>
    <row r="73" ht="15" customHeight="1" s="236"/>
    <row r="74" ht="15" customHeight="1" s="236"/>
    <row r="75" ht="15" customHeight="1" s="236"/>
    <row r="76" ht="15" customHeight="1" s="236"/>
    <row r="77" ht="15" customHeight="1" s="236"/>
    <row r="78" ht="15" customHeight="1" s="236"/>
    <row r="79" ht="15" customHeight="1" s="236"/>
    <row r="80" ht="15" customHeight="1" s="236"/>
    <row r="81" ht="15" customHeight="1" s="236"/>
    <row r="82" ht="15" customHeight="1" s="236"/>
    <row r="83" ht="15" customHeight="1" s="236"/>
    <row r="84" ht="15" customHeight="1" s="236"/>
    <row r="85" ht="15" customHeight="1" s="236"/>
    <row r="86" ht="15" customHeight="1" s="236"/>
    <row r="87" ht="15" customHeight="1" s="236"/>
    <row r="88" ht="15" customHeight="1" s="236"/>
    <row r="89" ht="15" customHeight="1" s="236"/>
    <row r="90" ht="15" customHeight="1" s="236"/>
    <row r="91" ht="15" customHeight="1" s="236"/>
    <row r="92" ht="15" customHeight="1" s="236"/>
    <row r="93" ht="15" customHeight="1" s="236"/>
    <row r="94" ht="15" customHeight="1" s="236"/>
    <row r="95" ht="15" customHeight="1" s="236"/>
    <row r="96" ht="15" customHeight="1" s="236"/>
    <row r="97" ht="15" customHeight="1" s="236"/>
    <row r="98" ht="15" customHeight="1" s="236"/>
    <row r="99" ht="15" customHeight="1" s="236"/>
    <row r="100" ht="15" customHeight="1" s="236"/>
    <row r="101" ht="15" customHeight="1" s="236"/>
    <row r="102" ht="15" customHeight="1" s="236"/>
    <row r="103" ht="15" customHeight="1" s="236"/>
    <row r="104" ht="15" customHeight="1" s="236"/>
    <row r="105" ht="15" customHeight="1" s="236"/>
    <row r="106" ht="15" customHeight="1" s="236"/>
    <row r="107" ht="15" customHeight="1" s="236"/>
    <row r="108" ht="15" customHeight="1" s="236"/>
    <row r="109" ht="15" customHeight="1" s="236"/>
    <row r="110" ht="15" customHeight="1" s="236"/>
    <row r="111" ht="15" customHeight="1" s="236"/>
    <row r="112" ht="15" customHeight="1" s="236"/>
    <row r="113" ht="15" customHeight="1" s="236"/>
    <row r="114" ht="15" customHeight="1" s="236"/>
    <row r="115" ht="15" customHeight="1" s="236"/>
    <row r="116" ht="15" customHeight="1" s="236"/>
    <row r="117" ht="15" customHeight="1" s="236"/>
    <row r="118" ht="15" customHeight="1" s="236"/>
    <row r="119" ht="32" customHeight="1" s="236">
      <c r="A119" s="345" t="inlineStr">
        <is>
          <t>【10月末時点で確認すべき判断材料】　① 実運用済み企業数　② 自走可能企業数　③ 完全移管企業数　④ 残企業数　⑤ 残工数　⑥ 必要追加人数　⑦ 1人あたり処理可能工数・1人あたり処理可能社数　⑧ 月あたり移管可能件数・今後の移管ペース（社/週）　→ ⑦⑧の詳細は「キャパシティ・必要人数」シートで自動算出されます。</t>
        </is>
      </c>
      <c r="B119" s="346" t="n"/>
      <c r="C119" s="346" t="n"/>
      <c r="D119" s="346" t="n"/>
      <c r="E119" s="346" t="n"/>
      <c r="F119" s="346" t="n"/>
      <c r="G119" s="346" t="n"/>
      <c r="H119" s="346" t="n"/>
      <c r="I119" s="346" t="n"/>
      <c r="J119" s="346" t="n"/>
      <c r="K119" s="346" t="n"/>
      <c r="L119" s="346" t="n"/>
      <c r="M119" s="346" t="n"/>
      <c r="N119" s="346" t="n"/>
      <c r="O119" s="346" t="n"/>
      <c r="P119" s="346" t="n"/>
      <c r="Q119" s="346" t="n"/>
      <c r="R119" s="346" t="n"/>
      <c r="S119" s="346" t="n"/>
      <c r="T119" s="346" t="n"/>
    </row>
    <row r="120" ht="32" customHeight="1" s="236">
      <c r="A120" s="347" t="inlineStr">
        <is>
          <t>【企業数だけで見ないための重点KPI（10/12週〜）】① 処理できた総工数 ＝ KPIカード「移管済み工数」　② An-field様の確認が不要だった企業数 ＝ KPIカード「完全移管企業数」　③ 担当者単独で処理できた企業数 ＝ KPIカード「自走可能企業数」</t>
        </is>
      </c>
      <c r="B120" s="272" t="n"/>
      <c r="C120" s="272" t="n"/>
      <c r="D120" s="272" t="n"/>
      <c r="E120" s="272" t="n"/>
      <c r="F120" s="272" t="n"/>
      <c r="G120" s="272" t="n"/>
      <c r="H120" s="272" t="n"/>
      <c r="I120" s="272" t="n"/>
      <c r="J120" s="272" t="n"/>
      <c r="K120" s="272" t="n"/>
      <c r="L120" s="272" t="n"/>
      <c r="M120" s="272" t="n"/>
      <c r="N120" s="272" t="n"/>
      <c r="O120" s="272" t="n"/>
      <c r="P120" s="272" t="n"/>
      <c r="Q120" s="272" t="n"/>
      <c r="R120" s="272" t="n"/>
      <c r="S120" s="272" t="n"/>
      <c r="T120" s="272" t="n"/>
    </row>
    <row r="121" ht="32" customHeight="1" s="236">
      <c r="A121" s="345" t="inlineStr">
        <is>
          <t>【進捗管理ルール】このプロジェクトは「何社移管したか」だけでは判断しません。①件数進捗（何社が各ステータスまで進んだか）②工数進捗（全体工数のうち何時間分を移管できたか）③自走進捗（何社がAn-field様の日常的な確認なしで運用できるか）の3軸で評価します。</t>
        </is>
      </c>
      <c r="B121" s="346" t="n"/>
      <c r="C121" s="346" t="n"/>
      <c r="D121" s="346" t="n"/>
      <c r="E121" s="346" t="n"/>
      <c r="F121" s="346" t="n"/>
      <c r="G121" s="346" t="n"/>
      <c r="H121" s="346" t="n"/>
      <c r="I121" s="346" t="n"/>
      <c r="J121" s="346" t="n"/>
      <c r="K121" s="346" t="n"/>
      <c r="L121" s="346" t="n"/>
      <c r="M121" s="346" t="n"/>
      <c r="N121" s="346" t="n"/>
      <c r="O121" s="346" t="n"/>
      <c r="P121" s="346" t="n"/>
      <c r="Q121" s="346" t="n"/>
      <c r="R121" s="346" t="n"/>
      <c r="S121" s="346" t="n"/>
      <c r="T121" s="346" t="n"/>
    </row>
    <row r="122" ht="28" customHeight="1" s="236">
      <c r="A122" s="347" t="inlineStr">
        <is>
          <t>【完全移管の定義】資料回収・給与計算・不明点対応・顧問先とのやり取り・納品・担当者管理まで、An-field様の日常的な管理なしで完結する状態。「給与計算ができる状態」は完全移管ではありません。</t>
        </is>
      </c>
      <c r="B122" s="272" t="n"/>
      <c r="C122" s="272" t="n"/>
      <c r="D122" s="272" t="n"/>
      <c r="E122" s="272" t="n"/>
      <c r="F122" s="272" t="n"/>
      <c r="G122" s="272" t="n"/>
      <c r="H122" s="272" t="n"/>
      <c r="I122" s="272" t="n"/>
      <c r="J122" s="272" t="n"/>
      <c r="K122" s="272" t="n"/>
      <c r="L122" s="272" t="n"/>
      <c r="M122" s="272" t="n"/>
      <c r="N122" s="272" t="n"/>
      <c r="O122" s="272" t="n"/>
      <c r="P122" s="272" t="n"/>
      <c r="Q122" s="272" t="n"/>
      <c r="R122" s="272" t="n"/>
      <c r="S122" s="272" t="n"/>
      <c r="T122" s="272" t="n"/>
    </row>
    <row r="123" ht="42" customHeight="1" s="236">
      <c r="A123" s="348" t="inlineStr">
        <is>
          <t>【10月末のゴール】100〜110社の完全移管ではありません。①先行企業で実運用が成立　②企業別工数の把握　③企業別難易度の整理　④秘書／ワーカーの役割分担成立　⑤1人あたり処理能力の把握　⑥現在人員で何社まで運用可能かが判明　⑦完全移管までの残工数が判明　⑧追加必要人員数が判明　⑨今後の移管ペースを数値で設計できる　この状態がゴールです。</t>
        </is>
      </c>
      <c r="B123" s="274" t="n"/>
      <c r="C123" s="274" t="n"/>
      <c r="D123" s="274" t="n"/>
      <c r="E123" s="274" t="n"/>
      <c r="F123" s="274" t="n"/>
      <c r="G123" s="274" t="n"/>
      <c r="H123" s="274" t="n"/>
      <c r="I123" s="274" t="n"/>
      <c r="J123" s="274" t="n"/>
      <c r="K123" s="274" t="n"/>
      <c r="L123" s="274" t="n"/>
      <c r="M123" s="274" t="n"/>
      <c r="N123" s="274" t="n"/>
      <c r="O123" s="274" t="n"/>
      <c r="P123" s="274" t="n"/>
      <c r="Q123" s="274" t="n"/>
      <c r="R123" s="274" t="n"/>
      <c r="S123" s="274" t="n"/>
      <c r="T123" s="274" t="n"/>
    </row>
    <row r="124" ht="32" customHeight="1" s="236">
      <c r="A124" s="350" t="inlineStr">
        <is>
          <t>【暫定計画値】9月：先行引継ぎ10〜15社程度／10月前半：実運用累計10〜20社程度／10月末：実運用累計25〜35社程度。いずれも確定値ではなく暫定計画値です。会社別工数・実績確認後に更新してください。件数目標を達成するために無理に企業を移管せず、実工数と品質をもとに件数を調整してください。</t>
        </is>
      </c>
      <c r="B124" s="351" t="n"/>
      <c r="C124" s="351" t="n"/>
      <c r="D124" s="351" t="n"/>
      <c r="E124" s="351" t="n"/>
      <c r="F124" s="351" t="n"/>
      <c r="G124" s="351" t="n"/>
      <c r="H124" s="351" t="n"/>
      <c r="I124" s="351" t="n"/>
      <c r="J124" s="351" t="n"/>
      <c r="K124" s="351" t="n"/>
      <c r="L124" s="351" t="n"/>
      <c r="M124" s="351" t="n"/>
      <c r="N124" s="351" t="n"/>
      <c r="O124" s="351" t="n"/>
      <c r="P124" s="351" t="n"/>
      <c r="Q124" s="351" t="n"/>
      <c r="R124" s="351" t="n"/>
      <c r="S124" s="351" t="n"/>
      <c r="T124" s="351" t="n"/>
    </row>
    <row r="125" ht="22" customHeight="1" s="236">
      <c r="A125" s="352" t="inlineStr">
        <is>
          <t>【凡例】薄い黄色＝手入力　／　薄いグレー＝自動計算　／　白＝暫定計画値（固定）　／　赤＝警告・不足のみ</t>
        </is>
      </c>
      <c r="B125" s="353" t="n"/>
      <c r="C125" s="353" t="n"/>
      <c r="D125" s="353" t="n"/>
      <c r="E125" s="353" t="n"/>
      <c r="F125" s="353" t="n"/>
      <c r="G125" s="353" t="n"/>
      <c r="H125" s="353" t="n"/>
      <c r="I125" s="353" t="n"/>
      <c r="J125" s="353" t="n"/>
      <c r="K125" s="353" t="n"/>
      <c r="L125" s="353" t="n"/>
      <c r="M125" s="353" t="n"/>
      <c r="N125" s="353" t="n"/>
      <c r="O125" s="353" t="n"/>
      <c r="P125" s="353" t="n"/>
      <c r="Q125" s="353" t="n"/>
      <c r="R125" s="353" t="n"/>
      <c r="S125" s="353" t="n"/>
      <c r="T125" s="353" t="n"/>
    </row>
  </sheetData>
  <mergeCells count="236">
    <mergeCell ref="H35:I35"/>
    <mergeCell ref="F29:G29"/>
    <mergeCell ref="R27:T27"/>
    <mergeCell ref="F25:G25"/>
    <mergeCell ref="R36:T36"/>
    <mergeCell ref="A24:T24"/>
    <mergeCell ref="J28:K28"/>
    <mergeCell ref="B31:C31"/>
    <mergeCell ref="D36:E36"/>
    <mergeCell ref="L28:M28"/>
    <mergeCell ref="D31:E31"/>
    <mergeCell ref="A51:T51"/>
    <mergeCell ref="H39:I39"/>
    <mergeCell ref="R42:T42"/>
    <mergeCell ref="Q13:T13"/>
    <mergeCell ref="L17:O17"/>
    <mergeCell ref="A124:T124"/>
    <mergeCell ref="Q7:T7"/>
    <mergeCell ref="Q21:T21"/>
    <mergeCell ref="A121:T121"/>
    <mergeCell ref="L39:M39"/>
    <mergeCell ref="N39:O39"/>
    <mergeCell ref="P39:Q39"/>
    <mergeCell ref="L19:O19"/>
    <mergeCell ref="B38:C38"/>
    <mergeCell ref="L29:M29"/>
    <mergeCell ref="N29:O29"/>
    <mergeCell ref="L38:M38"/>
    <mergeCell ref="G8:J8"/>
    <mergeCell ref="B12:E12"/>
    <mergeCell ref="N38:O38"/>
    <mergeCell ref="B21:E21"/>
    <mergeCell ref="P32:Q32"/>
    <mergeCell ref="L12:O12"/>
    <mergeCell ref="H37:I37"/>
    <mergeCell ref="A2:T2"/>
    <mergeCell ref="J31:K31"/>
    <mergeCell ref="B40:C40"/>
    <mergeCell ref="L31:M31"/>
    <mergeCell ref="N31:O31"/>
    <mergeCell ref="L40:M40"/>
    <mergeCell ref="R38:T38"/>
    <mergeCell ref="N40:O40"/>
    <mergeCell ref="F43:G43"/>
    <mergeCell ref="P43:Q43"/>
    <mergeCell ref="B33:C33"/>
    <mergeCell ref="D33:E33"/>
    <mergeCell ref="B13:E13"/>
    <mergeCell ref="A122:T122"/>
    <mergeCell ref="P33:Q33"/>
    <mergeCell ref="B32:C32"/>
    <mergeCell ref="R40:T40"/>
    <mergeCell ref="A125:T125"/>
    <mergeCell ref="B26:C26"/>
    <mergeCell ref="B41:C41"/>
    <mergeCell ref="D26:E26"/>
    <mergeCell ref="B35:C35"/>
    <mergeCell ref="D35:E35"/>
    <mergeCell ref="Q9:T9"/>
    <mergeCell ref="N26:O26"/>
    <mergeCell ref="P26:Q26"/>
    <mergeCell ref="N35:O35"/>
    <mergeCell ref="P35:Q35"/>
    <mergeCell ref="B25:C25"/>
    <mergeCell ref="D34:E34"/>
    <mergeCell ref="G20:J20"/>
    <mergeCell ref="F34:G34"/>
    <mergeCell ref="Q17:T17"/>
    <mergeCell ref="L21:O21"/>
    <mergeCell ref="N25:O25"/>
    <mergeCell ref="Q11:T11"/>
    <mergeCell ref="P25:Q25"/>
    <mergeCell ref="R26:T26"/>
    <mergeCell ref="H41:I41"/>
    <mergeCell ref="B27:C27"/>
    <mergeCell ref="R35:T35"/>
    <mergeCell ref="P34:Q34"/>
    <mergeCell ref="D53:T54"/>
    <mergeCell ref="H25:I25"/>
    <mergeCell ref="H34:I34"/>
    <mergeCell ref="F30:G30"/>
    <mergeCell ref="J34:K34"/>
    <mergeCell ref="N36:O36"/>
    <mergeCell ref="L42:M42"/>
    <mergeCell ref="G12:J12"/>
    <mergeCell ref="B16:E16"/>
    <mergeCell ref="F33:G33"/>
    <mergeCell ref="N42:O42"/>
    <mergeCell ref="G21:J21"/>
    <mergeCell ref="P36:Q36"/>
    <mergeCell ref="Q12:T12"/>
    <mergeCell ref="L16:O16"/>
    <mergeCell ref="J27:K27"/>
    <mergeCell ref="H36:I36"/>
    <mergeCell ref="J36:K36"/>
    <mergeCell ref="F42:G42"/>
    <mergeCell ref="L30:M30"/>
    <mergeCell ref="B29:C29"/>
    <mergeCell ref="A56:T56"/>
    <mergeCell ref="B37:C37"/>
    <mergeCell ref="D37:E37"/>
    <mergeCell ref="N28:O28"/>
    <mergeCell ref="F31:G31"/>
    <mergeCell ref="G7:J7"/>
    <mergeCell ref="B11:E11"/>
    <mergeCell ref="F28:G28"/>
    <mergeCell ref="P28:Q28"/>
    <mergeCell ref="H28:I28"/>
    <mergeCell ref="P37:Q37"/>
    <mergeCell ref="R39:T39"/>
    <mergeCell ref="D39:E39"/>
    <mergeCell ref="F39:G39"/>
    <mergeCell ref="R29:T29"/>
    <mergeCell ref="N30:O30"/>
    <mergeCell ref="P30:Q30"/>
    <mergeCell ref="D29:E29"/>
    <mergeCell ref="D38:E38"/>
    <mergeCell ref="L20:O20"/>
    <mergeCell ref="R31:T31"/>
    <mergeCell ref="J29:K29"/>
    <mergeCell ref="H38:I38"/>
    <mergeCell ref="R37:T37"/>
    <mergeCell ref="J38:K38"/>
    <mergeCell ref="L32:M32"/>
    <mergeCell ref="H43:I43"/>
    <mergeCell ref="N32:O32"/>
    <mergeCell ref="B15:E15"/>
    <mergeCell ref="N41:O41"/>
    <mergeCell ref="G16:J16"/>
    <mergeCell ref="P41:Q41"/>
    <mergeCell ref="H31:I31"/>
    <mergeCell ref="H40:I40"/>
    <mergeCell ref="J40:K40"/>
    <mergeCell ref="B43:C43"/>
    <mergeCell ref="A1:T1"/>
    <mergeCell ref="A45:T45"/>
    <mergeCell ref="G9:J9"/>
    <mergeCell ref="L43:M43"/>
    <mergeCell ref="R41:T41"/>
    <mergeCell ref="N43:O43"/>
    <mergeCell ref="D27:E27"/>
    <mergeCell ref="B42:C42"/>
    <mergeCell ref="L33:M33"/>
    <mergeCell ref="B7:E7"/>
    <mergeCell ref="N33:O33"/>
    <mergeCell ref="F36:G36"/>
    <mergeCell ref="P27:Q27"/>
    <mergeCell ref="L7:O7"/>
    <mergeCell ref="G11:J11"/>
    <mergeCell ref="R43:T43"/>
    <mergeCell ref="J26:K26"/>
    <mergeCell ref="L26:M26"/>
    <mergeCell ref="J35:K35"/>
    <mergeCell ref="A120:T120"/>
    <mergeCell ref="L35:M35"/>
    <mergeCell ref="R33:T33"/>
    <mergeCell ref="B34:C34"/>
    <mergeCell ref="J25:K25"/>
    <mergeCell ref="B28:C28"/>
    <mergeCell ref="L25:M25"/>
    <mergeCell ref="D28:E28"/>
    <mergeCell ref="Q20:T20"/>
    <mergeCell ref="D25:E25"/>
    <mergeCell ref="G13:J13"/>
    <mergeCell ref="B17:E17"/>
    <mergeCell ref="L8:O8"/>
    <mergeCell ref="B30:C30"/>
    <mergeCell ref="D30:E30"/>
    <mergeCell ref="A4:T4"/>
    <mergeCell ref="R28:T28"/>
    <mergeCell ref="H42:I42"/>
    <mergeCell ref="J42:K42"/>
    <mergeCell ref="G15:J15"/>
    <mergeCell ref="B19:E19"/>
    <mergeCell ref="R25:T25"/>
    <mergeCell ref="Q15:T15"/>
    <mergeCell ref="H30:I30"/>
    <mergeCell ref="R30:T30"/>
    <mergeCell ref="J39:K39"/>
    <mergeCell ref="B9:E9"/>
    <mergeCell ref="P29:Q29"/>
    <mergeCell ref="L9:O9"/>
    <mergeCell ref="H29:I29"/>
    <mergeCell ref="P38:Q38"/>
    <mergeCell ref="J37:K37"/>
    <mergeCell ref="L37:M37"/>
    <mergeCell ref="B20:E20"/>
    <mergeCell ref="D40:E40"/>
    <mergeCell ref="N37:O37"/>
    <mergeCell ref="F40:G40"/>
    <mergeCell ref="P31:Q31"/>
    <mergeCell ref="A123:T123"/>
    <mergeCell ref="L11:O11"/>
    <mergeCell ref="P40:Q40"/>
    <mergeCell ref="B39:C39"/>
    <mergeCell ref="J30:K30"/>
    <mergeCell ref="A6:T6"/>
    <mergeCell ref="A119:T119"/>
    <mergeCell ref="R32:T32"/>
    <mergeCell ref="Q16:T16"/>
    <mergeCell ref="D32:E32"/>
    <mergeCell ref="F32:G32"/>
    <mergeCell ref="D41:E41"/>
    <mergeCell ref="F26:G26"/>
    <mergeCell ref="F41:G41"/>
    <mergeCell ref="F35:G35"/>
    <mergeCell ref="L13:O13"/>
    <mergeCell ref="G17:J17"/>
    <mergeCell ref="Q8:T8"/>
    <mergeCell ref="H32:I32"/>
    <mergeCell ref="F38:G38"/>
    <mergeCell ref="A3:T3"/>
    <mergeCell ref="J32:K32"/>
    <mergeCell ref="D43:E43"/>
    <mergeCell ref="J41:K41"/>
    <mergeCell ref="L41:M41"/>
    <mergeCell ref="F27:G27"/>
    <mergeCell ref="L15:O15"/>
    <mergeCell ref="G19:J19"/>
    <mergeCell ref="H27:I27"/>
    <mergeCell ref="Q19:T19"/>
    <mergeCell ref="F37:G37"/>
    <mergeCell ref="L34:M34"/>
    <mergeCell ref="B8:E8"/>
    <mergeCell ref="J43:K43"/>
    <mergeCell ref="N34:O34"/>
    <mergeCell ref="D42:E42"/>
    <mergeCell ref="H33:I33"/>
    <mergeCell ref="P42:Q42"/>
    <mergeCell ref="J33:K33"/>
    <mergeCell ref="B36:C36"/>
    <mergeCell ref="L27:M27"/>
    <mergeCell ref="N27:O27"/>
    <mergeCell ref="L36:M36"/>
    <mergeCell ref="R34:T34"/>
    <mergeCell ref="H26:I2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An-field様 給与計算業務 完全移管 進行管理（2026/9/9〜12/31）</dc:title>
  <dcterms:created xsi:type="dcterms:W3CDTF">2026-09-09T11:46:05Z</dcterms:created>
  <dcterms:modified xsi:type="dcterms:W3CDTF">2026-09-10T11:12:27Z</dcterms:modified>
</cp:coreProperties>
</file>