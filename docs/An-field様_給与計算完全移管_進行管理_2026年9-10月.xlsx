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間スケジュール" sheetId="1" state="visible" r:id="rId1"/>
    <sheet name="ガントチャート" sheetId="2" state="visible" r:id="rId2"/>
    <sheet name="案件進捗管理" sheetId="3" state="visible" r:id="rId3"/>
    <sheet name="キャパシティ・必要人数" sheetId="4" state="visible" r:id="rId4"/>
    <sheet name="KPI" sheetId="5" state="visible" r:id="rId5"/>
  </sheets>
  <definedNames>
    <definedName name="_xlnm._FilterDatabase" localSheetId="0" hidden="1">'週間スケジュール'!$A$6:$O$14</definedName>
    <definedName name="_xlnm._FilterDatabase" localSheetId="2" hidden="1">'案件進捗管理'!$A$4:$Z$115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0.0&quot;h&quot;"/>
    <numFmt numFmtId="165" formatCode="0&quot;h&quot;"/>
    <numFmt numFmtId="166" formatCode="0&quot;名&quot;"/>
    <numFmt numFmtId="167" formatCode="yyyy-mm-dd"/>
    <numFmt numFmtId="168" formatCode="m/d"/>
    <numFmt numFmtId="169" formatCode="yyyy/m/d"/>
    <numFmt numFmtId="170" formatCode="0&quot;日&quot;"/>
    <numFmt numFmtId="171" formatCode="0.0&quot;h&quot;;-0.0&quot;h&quot;;"/>
    <numFmt numFmtId="172" formatCode="0.0"/>
    <numFmt numFmtId="173" formatCode="0.0%"/>
    <numFmt numFmtId="174" formatCode="0&quot;社&quot;"/>
    <numFmt numFmtId="175" formatCode="0.0&quot;社/週&quot;"/>
    <numFmt numFmtId="176" formatCode="0&quot;社/月&quot;"/>
    <numFmt numFmtId="177" formatCode="0.0&quot;社/人&quot;"/>
  </numFmts>
  <fonts count="4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95959"/>
      <sz val="9"/>
    </font>
    <font>
      <name val="Arial"/>
      <b val="1"/>
      <color rgb="009C0006"/>
      <sz val="9"/>
    </font>
    <font>
      <name val="Arial"/>
      <b val="1"/>
      <color rgb="008A4B00"/>
      <sz val="9"/>
    </font>
    <font>
      <name val="Arial"/>
      <b val="1"/>
      <color rgb="00000000"/>
      <sz val="9"/>
    </font>
    <font>
      <name val="Arial"/>
      <b val="1"/>
      <color rgb="008A6100"/>
      <sz val="9"/>
    </font>
    <font>
      <name val="Arial"/>
      <b val="1"/>
      <color rgb="001E6B34"/>
      <sz val="9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2E4A7D"/>
      <sz val="10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2E4A7D"/>
      <sz val="9"/>
    </font>
    <font>
      <name val="Arial"/>
      <b val="1"/>
      <color rgb="00595959"/>
      <sz val="9"/>
    </font>
    <font>
      <name val="Arial"/>
      <b val="1"/>
      <color rgb="001F3864"/>
      <sz val="10"/>
    </font>
    <font>
      <name val="Arial"/>
      <b val="1"/>
      <color rgb="001E6B34"/>
      <sz val="10"/>
    </font>
    <font>
      <name val="Arial"/>
      <b val="1"/>
      <color rgb="00FFFFFF"/>
      <sz val="8"/>
    </font>
    <font>
      <name val="Arial"/>
      <b val="1"/>
      <color rgb="00FFD9D9"/>
      <sz val="8"/>
    </font>
    <font>
      <name val="Arial"/>
      <b val="1"/>
      <color rgb="000000FF"/>
      <sz val="9"/>
    </font>
    <font>
      <name val="Arial"/>
      <b val="1"/>
      <color rgb="001E6B34"/>
      <sz val="8"/>
    </font>
    <font>
      <name val="Arial"/>
      <b val="1"/>
      <color rgb="008A4B00"/>
      <sz val="8"/>
    </font>
    <font>
      <name val="Arial"/>
      <color rgb="008A6100"/>
      <sz val="9"/>
    </font>
    <font>
      <name val="Arial"/>
      <b val="1"/>
      <color rgb="00FFFFFF"/>
      <sz val="11"/>
    </font>
    <font>
      <name val="Arial"/>
      <b val="1"/>
      <color rgb="000000FF"/>
      <sz val="12"/>
    </font>
    <font>
      <name val="Arial"/>
      <b val="1"/>
      <color rgb="002E4A7D"/>
      <sz val="11"/>
    </font>
    <font>
      <name val="Arial"/>
      <b val="1"/>
      <color rgb="002E4A7D"/>
      <sz val="13"/>
    </font>
    <font>
      <name val="Arial"/>
      <b val="1"/>
      <color rgb="002E4A7D"/>
      <sz val="12"/>
    </font>
    <font>
      <name val="Arial"/>
      <b val="1"/>
      <color rgb="002E4A7D"/>
      <sz val="20"/>
    </font>
    <font>
      <name val="Arial"/>
      <color rgb="00595959"/>
      <sz val="8"/>
    </font>
    <font>
      <name val="Arial"/>
      <b val="1"/>
      <color rgb="003F6B22"/>
      <sz val="20"/>
    </font>
    <font>
      <name val="Arial"/>
      <b val="1"/>
      <color rgb="001E6B34"/>
      <sz val="20"/>
    </font>
    <font>
      <name val="Arial"/>
      <b val="1"/>
      <color rgb="009C0006"/>
      <sz val="20"/>
    </font>
    <font>
      <name val="Arial"/>
      <b val="1"/>
      <color rgb="008A4B00"/>
      <sz val="20"/>
    </font>
    <font>
      <name val="Arial"/>
      <color rgb="00000000"/>
      <sz val="10"/>
    </font>
    <font>
      <name val="Arial"/>
      <b val="1"/>
      <color rgb="000000FF"/>
      <sz val="11"/>
    </font>
    <font>
      <name val="Arial"/>
      <b val="1"/>
      <color rgb="003F6B22"/>
      <sz val="11"/>
    </font>
    <font>
      <name val="Arial"/>
      <b val="1"/>
      <color rgb="00595959"/>
      <sz val="12"/>
    </font>
    <font>
      <name val="Arial"/>
      <b val="1"/>
      <color rgb="008A4B00"/>
      <sz val="12"/>
    </font>
    <font>
      <name val="Arial"/>
      <b val="1"/>
      <color rgb="001F4E79"/>
      <sz val="12"/>
    </font>
    <font>
      <name val="Arial"/>
      <b val="1"/>
      <color rgb="008A6100"/>
      <sz val="12"/>
    </font>
    <font>
      <name val="Arial"/>
      <b val="1"/>
      <color rgb="003F6B22"/>
      <sz val="12"/>
    </font>
    <font>
      <name val="Arial"/>
      <b val="1"/>
      <color rgb="001E6B34"/>
      <sz val="12"/>
    </font>
    <font>
      <name val="Arial"/>
      <b val="1"/>
      <color rgb="001F4E79"/>
      <sz val="11"/>
    </font>
    <font>
      <name val="Arial"/>
      <b val="1"/>
      <color rgb="008A4B00"/>
      <sz val="11"/>
    </font>
  </fonts>
  <fills count="3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DEDE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F7F9FC"/>
      </patternFill>
    </fill>
    <fill>
      <patternFill patternType="solid">
        <fgColor rgb="002E4A7D"/>
      </patternFill>
    </fill>
    <fill>
      <patternFill patternType="solid">
        <fgColor rgb="00EDF2FA"/>
      </patternFill>
    </fill>
    <fill>
      <patternFill patternType="solid">
        <fgColor rgb="00BFBFBF"/>
      </patternFill>
    </fill>
    <fill>
      <patternFill patternType="solid">
        <fgColor rgb="007C60A8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EFEFEF"/>
      </patternFill>
    </fill>
    <fill>
      <patternFill patternType="solid">
        <fgColor rgb="00FFD966"/>
      </patternFill>
    </fill>
    <fill>
      <patternFill patternType="solid">
        <fgColor rgb="00FFFFFF"/>
      </patternFill>
    </fill>
    <fill>
      <patternFill patternType="solid">
        <fgColor rgb="00FFFDF5"/>
      </patternFill>
    </fill>
    <fill>
      <patternFill patternType="solid">
        <fgColor rgb="003F6B22"/>
      </patternFill>
    </fill>
    <fill>
      <patternFill patternType="solid">
        <fgColor rgb="001E6B34"/>
      </patternFill>
    </fill>
    <fill>
      <patternFill patternType="solid">
        <fgColor rgb="009C0006"/>
      </patternFill>
    </fill>
    <fill>
      <patternFill patternType="solid">
        <fgColor rgb="008A4B00"/>
      </patternFill>
    </fill>
    <fill>
      <patternFill patternType="solid">
        <fgColor rgb="00E7E7E7"/>
      </patternFill>
    </fill>
    <fill>
      <patternFill patternType="solid">
        <fgColor rgb="00FFE0C2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D5EAC5"/>
      </patternFill>
    </fill>
    <fill>
      <patternFill patternType="solid">
        <fgColor rgb="00C6EFCE"/>
      </patternFill>
    </fill>
  </fills>
  <borders count="48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1E6B34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1E6B34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8A4B00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8A4B00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2E4A7D"/>
      </left>
      <right style="thin">
        <color rgb="00EDF2FA"/>
      </right>
      <top style="medium">
        <color rgb="002E4A7D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2E4A7D"/>
      </top>
      <bottom style="thin">
        <color rgb="00EDF2FA"/>
      </bottom>
    </border>
    <border>
      <left style="thin">
        <color rgb="00EDF2FA"/>
      </left>
      <right style="medium">
        <color rgb="002E4A7D"/>
      </right>
      <top style="medium">
        <color rgb="002E4A7D"/>
      </top>
      <bottom style="thin">
        <color rgb="00EDF2FA"/>
      </bottom>
    </border>
    <border>
      <left style="medium">
        <color rgb="002E4A7D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2E4A7D"/>
      </right>
      <top style="thin">
        <color rgb="00EDF2FA"/>
      </top>
      <bottom style="thin">
        <color rgb="00EDF2FA"/>
      </bottom>
    </border>
    <border>
      <left style="medium">
        <color rgb="002E4A7D"/>
      </left>
      <right style="thin">
        <color rgb="00EDF2FA"/>
      </right>
      <top style="thin">
        <color rgb="00EDF2FA"/>
      </top>
      <bottom style="medium">
        <color rgb="002E4A7D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2E4A7D"/>
      </bottom>
    </border>
    <border>
      <left style="thin">
        <color rgb="00EDF2FA"/>
      </left>
      <right style="medium">
        <color rgb="002E4A7D"/>
      </right>
      <top style="thin">
        <color rgb="00EDF2FA"/>
      </top>
      <bottom style="medium">
        <color rgb="002E4A7D"/>
      </bottom>
    </border>
    <border>
      <left style="medium">
        <color rgb="003F6B22"/>
      </left>
      <right style="thin">
        <color rgb="00EDF2FA"/>
      </right>
      <top style="medium">
        <color rgb="003F6B22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3F6B22"/>
      </top>
      <bottom style="thin">
        <color rgb="00EDF2FA"/>
      </bottom>
    </border>
    <border>
      <left style="thin">
        <color rgb="00EDF2FA"/>
      </left>
      <right style="medium">
        <color rgb="003F6B22"/>
      </right>
      <top style="medium">
        <color rgb="003F6B22"/>
      </top>
      <bottom style="thin">
        <color rgb="00EDF2FA"/>
      </bottom>
    </border>
    <border>
      <left style="medium">
        <color rgb="003F6B22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3F6B22"/>
      </right>
      <top style="thin">
        <color rgb="00EDF2FA"/>
      </top>
      <bottom style="thin">
        <color rgb="00EDF2FA"/>
      </bottom>
    </border>
    <border>
      <left style="medium">
        <color rgb="003F6B22"/>
      </left>
      <right style="thin">
        <color rgb="00EDF2FA"/>
      </right>
      <top style="thin">
        <color rgb="00EDF2FA"/>
      </top>
      <bottom style="medium">
        <color rgb="003F6B22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3F6B22"/>
      </bottom>
    </border>
    <border>
      <left style="thin">
        <color rgb="00EDF2FA"/>
      </left>
      <right style="medium">
        <color rgb="003F6B22"/>
      </right>
      <top style="thin">
        <color rgb="00EDF2FA"/>
      </top>
      <bottom style="medium">
        <color rgb="003F6B22"/>
      </bottom>
    </border>
    <border>
      <left style="medium">
        <color rgb="001E6B34"/>
      </left>
      <right style="thin">
        <color rgb="00EDF2FA"/>
      </right>
      <top style="medium">
        <color rgb="001E6B34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1E6B34"/>
      </top>
      <bottom style="thin">
        <color rgb="00EDF2FA"/>
      </bottom>
    </border>
    <border>
      <left style="thin">
        <color rgb="00EDF2FA"/>
      </left>
      <right style="medium">
        <color rgb="001E6B34"/>
      </right>
      <top style="medium">
        <color rgb="001E6B34"/>
      </top>
      <bottom style="thin">
        <color rgb="00EDF2FA"/>
      </bottom>
    </border>
    <border>
      <left style="medium">
        <color rgb="001E6B34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1E6B34"/>
      </right>
      <top style="thin">
        <color rgb="00EDF2FA"/>
      </top>
      <bottom style="thin">
        <color rgb="00EDF2FA"/>
      </bottom>
    </border>
    <border>
      <left style="medium">
        <color rgb="001E6B34"/>
      </left>
      <right style="thin">
        <color rgb="00EDF2FA"/>
      </right>
      <top style="thin">
        <color rgb="00EDF2FA"/>
      </top>
      <bottom style="medium">
        <color rgb="001E6B34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1E6B34"/>
      </bottom>
    </border>
    <border>
      <left style="thin">
        <color rgb="00EDF2FA"/>
      </left>
      <right style="medium">
        <color rgb="001E6B34"/>
      </right>
      <top style="thin">
        <color rgb="00EDF2FA"/>
      </top>
      <bottom style="medium">
        <color rgb="001E6B34"/>
      </bottom>
    </border>
    <border>
      <left style="medium">
        <color rgb="009C0006"/>
      </left>
      <right style="thin">
        <color rgb="00EDF2FA"/>
      </right>
      <top style="medium">
        <color rgb="009C0006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9C0006"/>
      </top>
      <bottom style="thin">
        <color rgb="00EDF2FA"/>
      </bottom>
    </border>
    <border>
      <left style="thin">
        <color rgb="00EDF2FA"/>
      </left>
      <right style="medium">
        <color rgb="009C0006"/>
      </right>
      <top style="medium">
        <color rgb="009C0006"/>
      </top>
      <bottom style="thin">
        <color rgb="00EDF2FA"/>
      </bottom>
    </border>
    <border>
      <left style="medium">
        <color rgb="009C0006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9C0006"/>
      </right>
      <top style="thin">
        <color rgb="00EDF2FA"/>
      </top>
      <bottom style="thin">
        <color rgb="00EDF2FA"/>
      </bottom>
    </border>
    <border>
      <left style="medium">
        <color rgb="009C0006"/>
      </left>
      <right style="thin">
        <color rgb="00EDF2FA"/>
      </right>
      <top style="thin">
        <color rgb="00EDF2FA"/>
      </top>
      <bottom style="medium">
        <color rgb="009C0006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9C0006"/>
      </bottom>
    </border>
    <border>
      <left style="thin">
        <color rgb="00EDF2FA"/>
      </left>
      <right style="medium">
        <color rgb="009C0006"/>
      </right>
      <top style="thin">
        <color rgb="00EDF2FA"/>
      </top>
      <bottom style="medium">
        <color rgb="009C0006"/>
      </bottom>
    </border>
    <border>
      <left style="medium">
        <color rgb="008A4B00"/>
      </left>
      <right style="thin">
        <color rgb="00EDF2FA"/>
      </right>
      <top style="medium">
        <color rgb="008A4B00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8A4B00"/>
      </top>
      <bottom style="thin">
        <color rgb="00EDF2FA"/>
      </bottom>
    </border>
    <border>
      <left style="thin">
        <color rgb="00EDF2FA"/>
      </left>
      <right style="medium">
        <color rgb="008A4B00"/>
      </right>
      <top style="medium">
        <color rgb="008A4B00"/>
      </top>
      <bottom style="thin">
        <color rgb="00EDF2FA"/>
      </bottom>
    </border>
    <border>
      <left style="medium">
        <color rgb="008A4B00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8A4B00"/>
      </right>
      <top style="thin">
        <color rgb="00EDF2FA"/>
      </top>
      <bottom style="thin">
        <color rgb="00EDF2FA"/>
      </bottom>
    </border>
    <border>
      <left style="medium">
        <color rgb="008A4B00"/>
      </left>
      <right style="thin">
        <color rgb="00EDF2FA"/>
      </right>
      <top style="thin">
        <color rgb="00EDF2FA"/>
      </top>
      <bottom style="medium">
        <color rgb="008A4B00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8A4B00"/>
      </bottom>
    </border>
    <border>
      <left style="thin">
        <color rgb="00EDF2FA"/>
      </left>
      <right style="medium">
        <color rgb="008A4B00"/>
      </right>
      <top style="thin">
        <color rgb="00EDF2FA"/>
      </top>
      <bottom style="medium">
        <color rgb="008A4B00"/>
      </bottom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166" fontId="0" fillId="9" borderId="1" applyAlignment="1" pivotButton="0" quotePrefix="0" xfId="0">
      <alignment horizontal="center" vertical="center" wrapText="1"/>
    </xf>
    <xf numFmtId="166" fontId="0" fillId="8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165" fontId="12" fillId="11" borderId="1" applyAlignment="1" pivotButton="0" quotePrefix="0" xfId="0">
      <alignment horizontal="center" vertical="center" wrapText="1"/>
    </xf>
    <xf numFmtId="164" fontId="12" fillId="11" borderId="1" applyAlignment="1" pivotButton="0" quotePrefix="0" xfId="0">
      <alignment horizontal="center" vertical="center" wrapText="1"/>
    </xf>
    <xf numFmtId="166" fontId="12" fillId="11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4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4" fillId="0" borderId="0" applyAlignment="1" pivotButton="0" quotePrefix="0" xfId="0">
      <alignment horizontal="center" vertical="center"/>
    </xf>
    <xf numFmtId="0" fontId="0" fillId="13" borderId="1" pivotButton="0" quotePrefix="0" xfId="0"/>
    <xf numFmtId="0" fontId="14" fillId="0" borderId="0" applyAlignment="1" pivotButton="0" quotePrefix="0" xfId="0">
      <alignment horizontal="left" vertical="center"/>
    </xf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8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5" fillId="3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0" fillId="2" borderId="1" pivotButton="0" quotePrefix="0" xfId="0"/>
    <xf numFmtId="168" fontId="17" fillId="2" borderId="1" applyAlignment="1" pivotButton="0" quotePrefix="0" xfId="0">
      <alignment horizontal="center" vertical="center"/>
    </xf>
    <xf numFmtId="168" fontId="20" fillId="21" borderId="3" applyAlignment="1" pivotButton="0" quotePrefix="0" xfId="0">
      <alignment horizontal="center" vertical="center"/>
    </xf>
    <xf numFmtId="168" fontId="21" fillId="21" borderId="5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20" fillId="21" borderId="3" applyAlignment="1" pivotButton="0" quotePrefix="0" xfId="0">
      <alignment horizontal="center" vertical="center"/>
    </xf>
    <xf numFmtId="0" fontId="21" fillId="21" borderId="5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169" fontId="11" fillId="0" borderId="1" applyAlignment="1" pivotButton="0" quotePrefix="0" xfId="0">
      <alignment horizontal="center" vertical="center"/>
    </xf>
    <xf numFmtId="170" fontId="11" fillId="0" borderId="1" applyAlignment="1" pivotButton="0" quotePrefix="0" xfId="0">
      <alignment horizontal="center" vertical="center"/>
    </xf>
    <xf numFmtId="9" fontId="19" fillId="8" borderId="1" applyAlignment="1" pivotButton="0" quotePrefix="0" xfId="0">
      <alignment horizontal="center" vertical="center"/>
    </xf>
    <xf numFmtId="0" fontId="0" fillId="13" borderId="2" pivotButton="0" quotePrefix="0" xfId="0"/>
    <xf numFmtId="0" fontId="0" fillId="0" borderId="2" pivotButton="0" quotePrefix="0" xfId="0"/>
    <xf numFmtId="0" fontId="0" fillId="20" borderId="2" pivotButton="0" quotePrefix="0" xfId="0"/>
    <xf numFmtId="0" fontId="0" fillId="0" borderId="4" pivotButton="0" quotePrefix="0" xfId="0"/>
    <xf numFmtId="0" fontId="0" fillId="20" borderId="6" pivotButton="0" quotePrefix="0" xfId="0"/>
    <xf numFmtId="0" fontId="0" fillId="13" borderId="4" pivotButton="0" quotePrefix="0" xfId="0"/>
    <xf numFmtId="0" fontId="0" fillId="13" borderId="6" pivotButton="0" quotePrefix="0" xfId="0"/>
    <xf numFmtId="0" fontId="8" fillId="15" borderId="1" applyAlignment="1" pivotButton="0" quotePrefix="0" xfId="0">
      <alignment horizontal="center" vertical="center"/>
    </xf>
    <xf numFmtId="0" fontId="0" fillId="15" borderId="2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2" pivotButton="0" quotePrefix="0" xfId="0"/>
    <xf numFmtId="0" fontId="0" fillId="16" borderId="4" pivotButton="0" quotePrefix="0" xfId="0"/>
    <xf numFmtId="0" fontId="8" fillId="14" borderId="1" applyAlignment="1" pivotButton="0" quotePrefix="0" xfId="0">
      <alignment horizontal="center" vertical="center"/>
    </xf>
    <xf numFmtId="0" fontId="0" fillId="14" borderId="2" pivotButton="0" quotePrefix="0" xfId="0"/>
    <xf numFmtId="0" fontId="0" fillId="14" borderId="4" pivotButton="0" quotePrefix="0" xfId="0"/>
    <xf numFmtId="0" fontId="8" fillId="17" borderId="1" applyAlignment="1" pivotButton="0" quotePrefix="0" xfId="0">
      <alignment horizontal="center" vertical="center"/>
    </xf>
    <xf numFmtId="0" fontId="0" fillId="17" borderId="4" pivotButton="0" quotePrefix="0" xfId="0"/>
    <xf numFmtId="0" fontId="0" fillId="17" borderId="2" pivotButton="0" quotePrefix="0" xfId="0"/>
    <xf numFmtId="0" fontId="0" fillId="17" borderId="6" pivotButton="0" quotePrefix="0" xfId="0"/>
    <xf numFmtId="0" fontId="0" fillId="15" borderId="6" pivotButton="0" quotePrefix="0" xfId="0"/>
    <xf numFmtId="0" fontId="8" fillId="18" borderId="1" applyAlignment="1" pivotButton="0" quotePrefix="0" xfId="0">
      <alignment horizontal="center" vertical="center"/>
    </xf>
    <xf numFmtId="0" fontId="0" fillId="18" borderId="4" pivotButton="0" quotePrefix="0" xfId="0"/>
    <xf numFmtId="0" fontId="0" fillId="18" borderId="2" pivotButton="0" quotePrefix="0" xfId="0"/>
    <xf numFmtId="0" fontId="0" fillId="18" borderId="6" pivotButton="0" quotePrefix="0" xfId="0"/>
    <xf numFmtId="0" fontId="8" fillId="19" borderId="1" applyAlignment="1" pivotButton="0" quotePrefix="0" xfId="0">
      <alignment horizontal="center" vertical="center"/>
    </xf>
    <xf numFmtId="0" fontId="0" fillId="19" borderId="2" pivotButton="0" quotePrefix="0" xfId="0"/>
    <xf numFmtId="0" fontId="0" fillId="19" borderId="4" pivotButton="0" quotePrefix="0" xfId="0"/>
    <xf numFmtId="0" fontId="0" fillId="19" borderId="6" pivotButton="0" quotePrefix="0" xfId="0"/>
    <xf numFmtId="0" fontId="7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4" fillId="2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164" fontId="22" fillId="5" borderId="1" applyAlignment="1" pivotButton="0" quotePrefix="0" xfId="0">
      <alignment horizontal="center" vertical="center" wrapText="1"/>
    </xf>
    <xf numFmtId="171" fontId="6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3" fillId="22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171" fontId="13" fillId="9" borderId="1" applyAlignment="1" pivotButton="0" quotePrefix="0" xfId="0">
      <alignment horizontal="center" vertical="center" wrapText="1"/>
    </xf>
    <xf numFmtId="169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1" fillId="23" borderId="1" applyAlignment="1" pivotButton="0" quotePrefix="0" xfId="0">
      <alignment horizontal="center" vertical="center" wrapText="1"/>
    </xf>
    <xf numFmtId="164" fontId="11" fillId="23" borderId="1" applyAlignment="1" pivotButton="0" quotePrefix="0" xfId="0">
      <alignment horizontal="center" vertical="center" wrapText="1"/>
    </xf>
    <xf numFmtId="169" fontId="11" fillId="23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left" vertical="center" wrapText="1"/>
    </xf>
    <xf numFmtId="0" fontId="23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9" fillId="0" borderId="1" applyAlignment="1" pivotButton="0" quotePrefix="0" xfId="0">
      <alignment horizontal="left" vertical="center" wrapText="1"/>
    </xf>
    <xf numFmtId="172" fontId="24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73" fontId="24" fillId="8" borderId="1" applyAlignment="1" pivotButton="0" quotePrefix="0" xfId="0">
      <alignment horizontal="center" vertical="center"/>
    </xf>
    <xf numFmtId="2" fontId="24" fillId="8" borderId="1" applyAlignment="1" pivotButton="0" quotePrefix="0" xfId="0">
      <alignment horizontal="center" vertical="center"/>
    </xf>
    <xf numFmtId="174" fontId="25" fillId="9" borderId="1" applyAlignment="1" pivotButton="0" quotePrefix="0" xfId="0">
      <alignment horizontal="center" vertical="center"/>
    </xf>
    <xf numFmtId="164" fontId="25" fillId="9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164" fontId="26" fillId="12" borderId="1" applyAlignment="1" pivotButton="0" quotePrefix="0" xfId="0">
      <alignment horizontal="center" vertical="center"/>
    </xf>
    <xf numFmtId="174" fontId="26" fillId="12" borderId="1" applyAlignment="1" pivotButton="0" quotePrefix="0" xfId="0">
      <alignment horizontal="center" vertical="center"/>
    </xf>
    <xf numFmtId="175" fontId="26" fillId="12" borderId="1" applyAlignment="1" pivotButton="0" quotePrefix="0" xfId="0">
      <alignment horizontal="center" vertical="center"/>
    </xf>
    <xf numFmtId="176" fontId="26" fillId="12" borderId="1" applyAlignment="1" pivotButton="0" quotePrefix="0" xfId="0">
      <alignment horizontal="center" vertical="center"/>
    </xf>
    <xf numFmtId="177" fontId="26" fillId="12" borderId="1" applyAlignment="1" pivotButton="0" quotePrefix="0" xfId="0">
      <alignment horizontal="center" vertical="center"/>
    </xf>
    <xf numFmtId="166" fontId="26" fillId="12" borderId="1" applyAlignment="1" pivotButton="0" quotePrefix="0" xfId="0">
      <alignment horizontal="center" vertical="center"/>
    </xf>
    <xf numFmtId="175" fontId="25" fillId="9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11" borderId="7" applyAlignment="1" pivotButton="0" quotePrefix="0" xfId="0">
      <alignment horizontal="center" vertical="center" wrapText="1"/>
    </xf>
    <xf numFmtId="0" fontId="0" fillId="11" borderId="8" pivotButton="0" quotePrefix="0" xfId="0"/>
    <xf numFmtId="0" fontId="0" fillId="11" borderId="9" pivotButton="0" quotePrefix="0" xfId="0"/>
    <xf numFmtId="174" fontId="28" fillId="12" borderId="10" applyAlignment="1" pivotButton="0" quotePrefix="0" xfId="0">
      <alignment horizontal="center" vertical="center"/>
    </xf>
    <xf numFmtId="0" fontId="0" fillId="12" borderId="11" pivotButton="0" quotePrefix="0" xfId="0"/>
    <xf numFmtId="0" fontId="0" fillId="12" borderId="12" pivotButton="0" quotePrefix="0" xfId="0"/>
    <xf numFmtId="0" fontId="29" fillId="12" borderId="13" applyAlignment="1" pivotButton="0" quotePrefix="0" xfId="0">
      <alignment horizontal="center" vertical="center" wrapText="1"/>
    </xf>
    <xf numFmtId="0" fontId="0" fillId="12" borderId="14" pivotButton="0" quotePrefix="0" xfId="0"/>
    <xf numFmtId="0" fontId="0" fillId="12" borderId="15" pivotButton="0" quotePrefix="0" xfId="0"/>
    <xf numFmtId="0" fontId="8" fillId="24" borderId="16" applyAlignment="1" pivotButton="0" quotePrefix="0" xfId="0">
      <alignment horizontal="center" vertical="center" wrapText="1"/>
    </xf>
    <xf numFmtId="0" fontId="0" fillId="24" borderId="17" pivotButton="0" quotePrefix="0" xfId="0"/>
    <xf numFmtId="0" fontId="0" fillId="24" borderId="18" pivotButton="0" quotePrefix="0" xfId="0"/>
    <xf numFmtId="0" fontId="8" fillId="25" borderId="24" applyAlignment="1" pivotButton="0" quotePrefix="0" xfId="0">
      <alignment horizontal="center" vertical="center" wrapText="1"/>
    </xf>
    <xf numFmtId="0" fontId="0" fillId="25" borderId="25" pivotButton="0" quotePrefix="0" xfId="0"/>
    <xf numFmtId="0" fontId="0" fillId="25" borderId="26" pivotButton="0" quotePrefix="0" xfId="0"/>
    <xf numFmtId="174" fontId="30" fillId="12" borderId="19" applyAlignment="1" pivotButton="0" quotePrefix="0" xfId="0">
      <alignment horizontal="center" vertical="center"/>
    </xf>
    <xf numFmtId="0" fontId="0" fillId="12" borderId="20" pivotButton="0" quotePrefix="0" xfId="0"/>
    <xf numFmtId="174" fontId="31" fillId="12" borderId="27" applyAlignment="1" pivotButton="0" quotePrefix="0" xfId="0">
      <alignment horizontal="center" vertical="center"/>
    </xf>
    <xf numFmtId="0" fontId="0" fillId="12" borderId="28" pivotButton="0" quotePrefix="0" xfId="0"/>
    <xf numFmtId="0" fontId="29" fillId="12" borderId="21" applyAlignment="1" pivotButton="0" quotePrefix="0" xfId="0">
      <alignment horizontal="center" vertical="center" wrapText="1"/>
    </xf>
    <xf numFmtId="0" fontId="0" fillId="12" borderId="22" pivotButton="0" quotePrefix="0" xfId="0"/>
    <xf numFmtId="0" fontId="0" fillId="12" borderId="23" pivotButton="0" quotePrefix="0" xfId="0"/>
    <xf numFmtId="0" fontId="29" fillId="12" borderId="29" applyAlignment="1" pivotButton="0" quotePrefix="0" xfId="0">
      <alignment horizontal="center" vertical="center" wrapText="1"/>
    </xf>
    <xf numFmtId="0" fontId="0" fillId="12" borderId="30" pivotButton="0" quotePrefix="0" xfId="0"/>
    <xf numFmtId="0" fontId="0" fillId="12" borderId="31" pivotButton="0" quotePrefix="0" xfId="0"/>
    <xf numFmtId="164" fontId="28" fillId="12" borderId="10" applyAlignment="1" pivotButton="0" quotePrefix="0" xfId="0">
      <alignment horizontal="center" vertical="center"/>
    </xf>
    <xf numFmtId="0" fontId="8" fillId="26" borderId="32" applyAlignment="1" pivotButton="0" quotePrefix="0" xfId="0">
      <alignment horizontal="center" vertical="center" wrapText="1"/>
    </xf>
    <xf numFmtId="0" fontId="0" fillId="26" borderId="33" pivotButton="0" quotePrefix="0" xfId="0"/>
    <xf numFmtId="0" fontId="0" fillId="26" borderId="34" pivotButton="0" quotePrefix="0" xfId="0"/>
    <xf numFmtId="0" fontId="8" fillId="27" borderId="40" applyAlignment="1" pivotButton="0" quotePrefix="0" xfId="0">
      <alignment horizontal="center" vertical="center" wrapText="1"/>
    </xf>
    <xf numFmtId="0" fontId="0" fillId="27" borderId="41" pivotButton="0" quotePrefix="0" xfId="0"/>
    <xf numFmtId="0" fontId="0" fillId="27" borderId="42" pivotButton="0" quotePrefix="0" xfId="0"/>
    <xf numFmtId="166" fontId="28" fillId="12" borderId="10" applyAlignment="1" pivotButton="0" quotePrefix="0" xfId="0">
      <alignment horizontal="center" vertical="center"/>
    </xf>
    <xf numFmtId="166" fontId="32" fillId="12" borderId="35" applyAlignment="1" pivotButton="0" quotePrefix="0" xfId="0">
      <alignment horizontal="center" vertical="center"/>
    </xf>
    <xf numFmtId="0" fontId="0" fillId="12" borderId="36" pivotButton="0" quotePrefix="0" xfId="0"/>
    <xf numFmtId="176" fontId="33" fillId="12" borderId="43" applyAlignment="1" pivotButton="0" quotePrefix="0" xfId="0">
      <alignment horizontal="center" vertical="center"/>
    </xf>
    <xf numFmtId="0" fontId="0" fillId="12" borderId="44" pivotButton="0" quotePrefix="0" xfId="0"/>
    <xf numFmtId="177" fontId="30" fillId="12" borderId="19" applyAlignment="1" pivotButton="0" quotePrefix="0" xfId="0">
      <alignment horizontal="center" vertical="center"/>
    </xf>
    <xf numFmtId="0" fontId="29" fillId="12" borderId="37" applyAlignment="1" pivotButton="0" quotePrefix="0" xfId="0">
      <alignment horizontal="center" vertical="center" wrapText="1"/>
    </xf>
    <xf numFmtId="0" fontId="0" fillId="12" borderId="38" pivotButton="0" quotePrefix="0" xfId="0"/>
    <xf numFmtId="0" fontId="0" fillId="12" borderId="39" pivotButton="0" quotePrefix="0" xfId="0"/>
    <xf numFmtId="0" fontId="29" fillId="12" borderId="45" applyAlignment="1" pivotButton="0" quotePrefix="0" xfId="0">
      <alignment horizontal="center" vertical="center" wrapText="1"/>
    </xf>
    <xf numFmtId="0" fontId="0" fillId="12" borderId="46" pivotButton="0" quotePrefix="0" xfId="0"/>
    <xf numFmtId="0" fontId="0" fillId="12" borderId="47" pivotButton="0" quotePrefix="0" xfId="0"/>
    <xf numFmtId="0" fontId="9" fillId="22" borderId="1" applyAlignment="1" pivotButton="0" quotePrefix="0" xfId="0">
      <alignment horizontal="center" vertical="center"/>
    </xf>
    <xf numFmtId="0" fontId="0" fillId="22" borderId="1" pivotButton="0" quotePrefix="0" xfId="0"/>
    <xf numFmtId="169" fontId="34" fillId="22" borderId="1" applyAlignment="1" pivotButton="0" quotePrefix="0" xfId="0">
      <alignment horizontal="center" vertical="center"/>
    </xf>
    <xf numFmtId="174" fontId="34" fillId="22" borderId="1" applyAlignment="1" pivotButton="0" quotePrefix="0" xfId="0">
      <alignment horizontal="center" vertical="center"/>
    </xf>
    <xf numFmtId="174" fontId="34" fillId="9" borderId="1" applyAlignment="1" pivotButton="0" quotePrefix="0" xfId="0">
      <alignment horizontal="center" vertical="center"/>
    </xf>
    <xf numFmtId="165" fontId="34" fillId="22" borderId="1" applyAlignment="1" pivotButton="0" quotePrefix="0" xfId="0">
      <alignment horizontal="center" vertical="center"/>
    </xf>
    <xf numFmtId="164" fontId="35" fillId="8" borderId="1" applyAlignment="1" pivotButton="0" quotePrefix="0" xfId="0">
      <alignment horizontal="center" vertical="center"/>
    </xf>
    <xf numFmtId="0" fontId="0" fillId="8" borderId="1" pivotButton="0" quotePrefix="0" xfId="0"/>
    <xf numFmtId="164" fontId="34" fillId="9" borderId="1" applyAlignment="1" pivotButton="0" quotePrefix="0" xfId="0">
      <alignment horizontal="center" vertical="center"/>
    </xf>
    <xf numFmtId="173" fontId="25" fillId="9" borderId="1" applyAlignment="1" pivotButton="0" quotePrefix="0" xfId="0">
      <alignment horizontal="center" vertical="center"/>
    </xf>
    <xf numFmtId="173" fontId="36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74" fontId="12" fillId="11" borderId="1" applyAlignment="1" pivotButton="0" quotePrefix="0" xfId="0">
      <alignment horizontal="center" vertical="center"/>
    </xf>
    <xf numFmtId="165" fontId="12" fillId="11" borderId="1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173" fontId="12" fillId="11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74" fontId="37" fillId="28" borderId="1" applyAlignment="1" pivotButton="0" quotePrefix="0" xfId="0">
      <alignment horizontal="center" vertical="center"/>
    </xf>
    <xf numFmtId="174" fontId="38" fillId="29" borderId="1" applyAlignment="1" pivotButton="0" quotePrefix="0" xfId="0">
      <alignment horizontal="center" vertical="center"/>
    </xf>
    <xf numFmtId="174" fontId="39" fillId="30" borderId="1" applyAlignment="1" pivotButton="0" quotePrefix="0" xfId="0">
      <alignment horizontal="center" vertical="center"/>
    </xf>
    <xf numFmtId="174" fontId="40" fillId="31" borderId="1" applyAlignment="1" pivotButton="0" quotePrefix="0" xfId="0">
      <alignment horizontal="center" vertical="center"/>
    </xf>
    <xf numFmtId="174" fontId="41" fillId="32" borderId="1" applyAlignment="1" pivotButton="0" quotePrefix="0" xfId="0">
      <alignment horizontal="center" vertical="center"/>
    </xf>
    <xf numFmtId="174" fontId="42" fillId="33" borderId="1" applyAlignment="1" pivotButton="0" quotePrefix="0" xfId="0">
      <alignment horizontal="center" vertical="center"/>
    </xf>
    <xf numFmtId="173" fontId="2" fillId="9" borderId="1" applyAlignment="1" pivotButton="0" quotePrefix="0" xfId="0">
      <alignment horizontal="center" vertical="center"/>
    </xf>
    <xf numFmtId="164" fontId="43" fillId="9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44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26">
    <dxf>
      <font>
        <name val="Arial"/>
        <b val="1"/>
        <color rgb="001E6B34"/>
        <sz val="10"/>
      </font>
      <fill>
        <patternFill patternType="solid">
          <fgColor rgb="00C6EFCE"/>
        </patternFill>
      </fill>
    </dxf>
    <dxf>
      <font>
        <name val="Arial"/>
        <b val="1"/>
        <color rgb="001F4E79"/>
        <sz val="10"/>
      </font>
      <fill>
        <patternFill patternType="solid">
          <fgColor rgb="00BDD7E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8A6100"/>
        <sz val="10"/>
      </font>
      <fill>
        <patternFill patternType="solid">
          <fgColor rgb="00FFEB9C"/>
        </patternFill>
      </fill>
    </dxf>
    <dxf>
      <font>
        <name val="Arial"/>
        <b val="1"/>
        <color rgb="00595959"/>
        <sz val="10"/>
      </font>
      <fill>
        <patternFill patternType="solid">
          <fgColor rgb="00E7E7E7"/>
        </patternFill>
      </fill>
    </dxf>
    <dxf>
      <fill>
        <patternFill patternType="solid">
          <fgColor rgb="00FDEDEE"/>
        </patternFill>
      </fill>
    </dxf>
    <dxf>
      <fill>
        <patternFill patternType="solid">
          <fgColor rgb="00FFF8E1"/>
        </patternFill>
      </fill>
    </dxf>
    <dxf>
      <font>
        <name val="Arial"/>
        <b val="1"/>
        <color rgb="001E6B34"/>
        <sz val="9"/>
      </font>
    </dxf>
    <dxf>
      <font>
        <name val="Arial"/>
        <b val="1"/>
        <color rgb="00595959"/>
        <sz val="9"/>
      </font>
      <fill>
        <patternFill patternType="solid">
          <fgColor rgb="00E7E7E7"/>
        </patternFill>
      </fill>
    </dxf>
    <dxf>
      <font>
        <name val="Arial"/>
        <b val="1"/>
        <color rgb="008A4B00"/>
        <sz val="9"/>
      </font>
      <fill>
        <patternFill patternType="solid">
          <fgColor rgb="00FFE0C2"/>
        </patternFill>
      </fill>
    </dxf>
    <dxf>
      <font>
        <name val="Arial"/>
        <b val="1"/>
        <color rgb="001F4E79"/>
        <sz val="9"/>
      </font>
      <fill>
        <patternFill patternType="solid">
          <fgColor rgb="00BDD7EE"/>
        </patternFill>
      </fill>
    </dxf>
    <dxf>
      <font>
        <name val="Arial"/>
        <b val="1"/>
        <color rgb="008A6100"/>
        <sz val="9"/>
      </font>
      <fill>
        <patternFill patternType="solid">
          <fgColor rgb="00FFEB9C"/>
        </patternFill>
      </fill>
    </dxf>
    <dxf>
      <font>
        <name val="Arial"/>
        <b val="1"/>
        <color rgb="003F6B22"/>
        <sz val="9"/>
      </font>
      <fill>
        <patternFill patternType="solid">
          <fgColor rgb="00D5EAC5"/>
        </patternFill>
      </fill>
    </dxf>
    <dxf>
      <font>
        <name val="Arial"/>
        <b val="1"/>
        <color rgb="001E6B34"/>
        <sz val="9"/>
      </font>
      <fill>
        <patternFill patternType="solid">
          <fgColor rgb="00C6EFCE"/>
        </patternFill>
      </fill>
    </dxf>
    <dxf>
      <font>
        <name val="Arial"/>
        <b val="1"/>
        <color rgb="00000000"/>
        <sz val="9"/>
      </font>
      <fill>
        <patternFill patternType="solid">
          <fgColor rgb="00E2EFDA"/>
        </patternFill>
      </fill>
    </dxf>
    <dxf>
      <font>
        <name val="Arial"/>
        <b val="1"/>
        <color rgb="00000000"/>
        <sz val="9"/>
      </font>
      <fill>
        <patternFill patternType="solid">
          <fgColor rgb="00FFF2CC"/>
        </patternFill>
      </fill>
    </dxf>
    <dxf>
      <font>
        <name val="Arial"/>
        <b val="1"/>
        <color rgb="00000000"/>
        <sz val="9"/>
      </font>
      <fill>
        <patternFill patternType="solid">
          <fgColor rgb="00FCE4D6"/>
        </patternFill>
      </fill>
    </dxf>
    <dxf>
      <font>
        <name val="Arial"/>
        <b val="1"/>
        <color rgb="00000000"/>
        <sz val="9"/>
      </font>
      <fill>
        <patternFill patternType="solid">
          <fgColor rgb="00E7E7E7"/>
        </patternFill>
      </fill>
    </dxf>
    <dxf>
      <font>
        <name val="Arial"/>
        <b val="1"/>
        <color rgb="005B3A87"/>
        <sz val="9"/>
      </font>
      <fill>
        <patternFill patternType="solid">
          <fgColor rgb="00E4DFEC"/>
        </patternFill>
      </fill>
    </dxf>
    <dxf>
      <font>
        <name val="Arial"/>
        <b val="1"/>
        <color rgb="001F4E79"/>
        <sz val="9"/>
      </font>
      <fill>
        <patternFill patternType="solid">
          <fgColor rgb="00DEEBF7"/>
        </patternFill>
      </fill>
    </dxf>
    <dxf>
      <font>
        <name val="Arial"/>
        <b val="1"/>
        <color rgb="001E4620"/>
        <sz val="9"/>
      </font>
      <fill>
        <patternFill patternType="solid">
          <fgColor rgb="00A9D08E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8A6100"/>
        <sz val="9"/>
      </font>
      <fill>
        <patternFill patternType="solid">
          <fgColor rgb="00FFF2CC"/>
        </patternFill>
      </fill>
    </dxf>
    <dxf>
      <font>
        <name val="Arial"/>
        <b val="1"/>
        <color rgb="009C0006"/>
        <sz val="12"/>
      </font>
      <fill>
        <patternFill patternType="solid">
          <fgColor rgb="00FFC7CE"/>
        </patternFill>
      </fill>
    </dxf>
    <dxf>
      <font>
        <name val="Arial"/>
        <b val="1"/>
        <color rgb="008A6100"/>
        <sz val="12"/>
      </font>
      <fill>
        <patternFill patternType="solid">
          <fgColor rgb="00FFEB9C"/>
        </patternFill>
      </fill>
    </dxf>
    <dxf>
      <font>
        <name val="Arial"/>
        <b val="1"/>
        <color rgb="001E6B34"/>
        <sz val="12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① 移管ステータス別 企業数（積み上げ）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'KPI'!C38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'KPI'!$C$39</f>
            </numRef>
          </val>
        </ser>
        <ser>
          <idx val="1"/>
          <order val="1"/>
          <tx>
            <strRef>
              <f>'KPI'!D38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'KPI'!$D$39</f>
            </numRef>
          </val>
        </ser>
        <ser>
          <idx val="2"/>
          <order val="2"/>
          <tx>
            <strRef>
              <f>'KPI'!E38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'KPI'!$E$39</f>
            </numRef>
          </val>
        </ser>
        <ser>
          <idx val="3"/>
          <order val="3"/>
          <tx>
            <strRef>
              <f>'KPI'!F38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'KPI'!$F$39</f>
            </numRef>
          </val>
        </ser>
        <ser>
          <idx val="4"/>
          <order val="4"/>
          <tx>
            <strRef>
              <f>'KPI'!G38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'KPI'!$G$39</f>
            </numRef>
          </val>
        </ser>
        <ser>
          <idx val="5"/>
          <order val="5"/>
          <tx>
            <strRef>
              <f>'KPI'!H38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'KPI'!$H$39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企業数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② 実運用企業数の推移（計画 vs 実績）</a:t>
            </a:r>
          </a:p>
        </rich>
      </tx>
    </title>
    <plotArea>
      <lineChart>
        <grouping val="standard"/>
        <ser>
          <idx val="0"/>
          <order val="0"/>
          <tx>
            <strRef>
              <f>'KPI'!F25</f>
            </strRef>
          </tx>
          <spPr>
            <a:ln w="28000">
              <a:solidFill>
                <a:srgbClr val="2E4A7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'KPI'!$B$26:$B$33</f>
            </numRef>
          </cat>
          <val>
            <numRef>
              <f>'KPI'!$F$26:$F$33</f>
            </numRef>
          </val>
          <smooth val="0"/>
        </ser>
        <ser>
          <idx val="1"/>
          <order val="1"/>
          <tx>
            <strRef>
              <f>'KPI'!H25</f>
            </strRef>
          </tx>
          <spPr>
            <a:ln w="2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'KPI'!$B$26:$B$33</f>
            </numRef>
          </cat>
          <val>
            <numRef>
              <f>'KPI'!$H$26:$H$33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企業数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③ 計画工数 vs 実績工数（週次）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'KPI'!J25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'KPI'!$B$26:$B$33</f>
            </numRef>
          </cat>
          <val>
            <numRef>
              <f>'KPI'!$J$26:$J$33</f>
            </numRef>
          </val>
        </ser>
        <ser>
          <idx val="1"/>
          <order val="1"/>
          <tx>
            <strRef>
              <f>'KPI'!L25</f>
            </strRef>
          </tx>
          <spPr>
            <a:solidFill>
              <a:srgbClr val="2E4A7D"/>
            </a:solidFill>
            <a:ln>
              <a:prstDash val="solid"/>
            </a:ln>
          </spPr>
          <cat>
            <numRef>
              <f>'KPI'!$B$26:$B$33</f>
            </numRef>
          </cat>
          <val>
            <numRef>
              <f>'KPI'!$L$26:$L$33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工数（h）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④ 現在処理能力 vs 必要処理能力（月）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'KPI'!C43</f>
            </strRef>
          </tx>
          <spPr>
            <a:ln>
              <a:prstDash val="solid"/>
            </a:ln>
          </spPr>
          <cat>
            <numRef>
              <f>'KPI'!$B$44:$B$45</f>
            </numRef>
          </cat>
          <val>
            <numRef>
              <f>'KPI'!$C$44:$C$45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工数（h/月）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⑤ 企業件数進捗 vs 工数進捗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'KPI'!P25</f>
            </strRef>
          </tx>
          <spPr>
            <a:solidFill>
              <a:srgbClr val="2E4A7D"/>
            </a:solidFill>
            <a:ln>
              <a:prstDash val="solid"/>
            </a:ln>
          </spPr>
          <cat>
            <numRef>
              <f>'KPI'!$B$26:$B$33</f>
            </numRef>
          </cat>
          <val>
            <numRef>
              <f>'KPI'!$P$26:$P$33</f>
            </numRef>
          </val>
        </ser>
        <ser>
          <idx val="1"/>
          <order val="1"/>
          <tx>
            <strRef>
              <f>'KPI'!R25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'KPI'!$B$26:$B$33</f>
            </numRef>
          </cat>
          <val>
            <numRef>
              <f>'KPI'!$R$26:$R$33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進捗率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47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47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67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67</row>
      <rowOff>0</rowOff>
    </from>
    <ext cx="57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87</row>
      <rowOff>0</rowOff>
    </from>
    <ext cx="57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showGridLines="0" zoomScale="85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10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40" customWidth="1" min="12" max="12"/>
    <col width="11" customWidth="1" min="13" max="13"/>
    <col width="22" customWidth="1" min="14" max="14"/>
    <col width="22" customWidth="1" min="15" max="15"/>
  </cols>
  <sheetData>
    <row r="1" ht="34" customHeight="1">
      <c r="A1" s="1" t="inlineStr">
        <is>
          <t>An-field様　給与計算業務 完全移管　週間進行管理（2026/9/9 ～ 10/31）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3" t="inlineStr">
        <is>
          <t>9月＝全社情報整理・優先順位決定・先行企業引継ぎ・テスト計算・採用　／　10月＝先行企業 実運用・対象企業拡大・運用精度確認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18" customHeight="1">
      <c r="A3" s="5" t="inlineStr">
        <is>
          <t>※本シートの件数・工数・人数はすべて【暫定計画値】です。会社別工数・実績確認後に更新してください（確定値ではありません）。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18" customHeight="1">
      <c r="A4" s="7" t="inlineStr">
        <is>
          <t>【重要】10月＝完全移管ではありません。10月は「先行企業 実運用・対象企業拡大」フェーズです。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 ht="18" customHeight="1">
      <c r="A5" s="9" t="inlineStr">
        <is>
          <t>計画（期間・フェーズ・対応内容）</t>
        </is>
      </c>
      <c r="B5" s="10" t="n"/>
      <c r="C5" s="10" t="n"/>
      <c r="D5" s="11" t="inlineStr">
        <is>
          <t>暫定計画値 ／ 実績入力 ／ 自動計算</t>
        </is>
      </c>
      <c r="E5" s="12" t="n"/>
      <c r="F5" s="12" t="n"/>
      <c r="G5" s="12" t="n"/>
      <c r="H5" s="12" t="n"/>
      <c r="I5" s="12" t="n"/>
      <c r="J5" s="12" t="n"/>
      <c r="K5" s="12" t="n"/>
      <c r="L5" s="13" t="inlineStr">
        <is>
          <t>完了条件・運用管理（手入力）</t>
        </is>
      </c>
      <c r="M5" s="14" t="n"/>
      <c r="N5" s="14" t="n"/>
      <c r="O5" s="14" t="n"/>
    </row>
    <row r="6" ht="40" customHeight="1">
      <c r="A6" s="15" t="inlineStr">
        <is>
          <t>期間</t>
        </is>
      </c>
      <c r="B6" s="15" t="inlineStr">
        <is>
          <t>フェーズ</t>
        </is>
      </c>
      <c r="C6" s="15" t="inlineStr">
        <is>
          <t>主な対応内容</t>
        </is>
      </c>
      <c r="D6" s="15" t="inlineStr">
        <is>
          <t>計画対象企業数</t>
        </is>
      </c>
      <c r="E6" s="15" t="inlineStr">
        <is>
          <t>実績対象企業数</t>
        </is>
      </c>
      <c r="F6" s="15" t="inlineStr">
        <is>
          <t>実運用累計企業数</t>
        </is>
      </c>
      <c r="G6" s="15" t="inlineStr">
        <is>
          <t>計画工数</t>
        </is>
      </c>
      <c r="H6" s="15" t="inlineStr">
        <is>
          <t>実績工数</t>
        </is>
      </c>
      <c r="I6" s="15" t="inlineStr">
        <is>
          <t>必要人数</t>
        </is>
      </c>
      <c r="J6" s="15" t="inlineStr">
        <is>
          <t>実働人数</t>
        </is>
      </c>
      <c r="K6" s="15" t="inlineStr">
        <is>
          <t>1社あたり平均工数</t>
        </is>
      </c>
      <c r="L6" s="15" t="inlineStr">
        <is>
          <t>完了条件</t>
        </is>
      </c>
      <c r="M6" s="15" t="inlineStr">
        <is>
          <t>ステータス</t>
        </is>
      </c>
      <c r="N6" s="15" t="inlineStr">
        <is>
          <t>課題</t>
        </is>
      </c>
      <c r="O6" s="15" t="inlineStr">
        <is>
          <t>次週アクション</t>
        </is>
      </c>
    </row>
    <row r="7" ht="132" customHeight="1">
      <c r="A7" s="16" t="inlineStr">
        <is>
          <t>2026/9/9（水）～9/13（日）</t>
        </is>
      </c>
      <c r="B7" s="17" t="inlineStr">
        <is>
          <t>全社情報整理・移管設計</t>
        </is>
      </c>
      <c r="C7" s="18" t="inlineStr">
        <is>
          <t>・100〜110社の一覧整理
・会社別工数情報の回収
・チェックシート回収
・給与計算ソフト整理
・勤怠取得方法整理
・締日、支給日確認
・特殊ルール確認
・例外処理確認
・難易度分類
・優先順位決定
・先行移管候補企業選定
・追加ワーカー募集状況確認</t>
        </is>
      </c>
      <c r="D7" s="19" t="n">
        <v>0</v>
      </c>
      <c r="E7" s="20" t="n"/>
      <c r="F7" s="21">
        <f>SUMPRODUCT(('案件進捗管理'!$V$6:$V$115&lt;&gt;"")*('案件進捗管理'!$V$6:$V$115&lt;=DATE(2026,9,13)))</f>
        <v/>
      </c>
      <c r="G7" s="22" t="n">
        <v>60</v>
      </c>
      <c r="H7" s="23" t="n"/>
      <c r="I7" s="24">
        <f>IF('キャパシティ・必要人数'!$D$29=0,"",ROUNDUP(G7/'キャパシティ・必要人数'!$D$29,0))</f>
        <v/>
      </c>
      <c r="J7" s="25" t="n"/>
      <c r="K7" s="26">
        <f>IF(OR(E7="",N(E7)=0,H7=""),"",H7/E7)</f>
        <v/>
      </c>
      <c r="L7" s="18" t="inlineStr">
        <is>
          <t>・対象企業の全体像が見えている
・先行対象企業が選定されている
・会社別工数確認を開始できている
【暫定目安】100〜110社の一覧化／先行候補企業10〜15社程度を抽出（確定値ではなく暫定候補）</t>
        </is>
      </c>
      <c r="M7" s="27" t="inlineStr">
        <is>
          <t>未着手</t>
        </is>
      </c>
      <c r="N7" s="28" t="n"/>
      <c r="O7" s="28" t="n"/>
    </row>
    <row r="8" ht="132" customHeight="1">
      <c r="A8" s="29" t="inlineStr">
        <is>
          <t>2026/9/14（月）～9/20（日）</t>
        </is>
      </c>
      <c r="B8" s="30" t="inlineStr">
        <is>
          <t>先行企業引継ぎ・工数計測</t>
        </is>
      </c>
      <c r="C8" s="31" t="inlineStr">
        <is>
          <t>・優先企業の業務レクチャー
・勤怠取得方法確認
・給与計算フロー確認
・資料回収方法確認
・顧客対応方法確認
・納品方法確認
・チェックシート確認
・1社あたり実工数計測開始
・追加ワーカー面接、選考</t>
        </is>
      </c>
      <c r="D8" s="32" t="n">
        <v>6</v>
      </c>
      <c r="E8" s="20" t="n"/>
      <c r="F8" s="21">
        <f>SUMPRODUCT(('案件進捗管理'!$V$6:$V$115&lt;&gt;"")*('案件進捗管理'!$V$6:$V$115&lt;=DATE(2026,9,20)))</f>
        <v/>
      </c>
      <c r="G8" s="33" t="n">
        <v>80</v>
      </c>
      <c r="H8" s="23" t="n"/>
      <c r="I8" s="24">
        <f>IF('キャパシティ・必要人数'!$D$29=0,"",ROUNDUP(G8/'キャパシティ・必要人数'!$D$29,0))</f>
        <v/>
      </c>
      <c r="J8" s="25" t="n"/>
      <c r="K8" s="26">
        <f>IF(OR(E8="",N(E8)=0,H8=""),"",H8/E8)</f>
        <v/>
      </c>
      <c r="L8" s="31" t="inlineStr">
        <is>
          <t>・先行企業の業務内容を担当者が把握
・1社あたり実工数の計測を開始できている
・追加ワーカーの選考が進行している
【暫定目安】先行引継ぎ5〜8社程度／テスト計算3〜5社程度　【重要】件数よりも、実工数・難易度・必要スキル・担当可能人数の把握を優先</t>
        </is>
      </c>
      <c r="M8" s="27" t="inlineStr">
        <is>
          <t>未着手</t>
        </is>
      </c>
      <c r="N8" s="28" t="n"/>
      <c r="O8" s="28" t="n"/>
    </row>
    <row r="9" ht="132" customHeight="1">
      <c r="A9" s="16" t="inlineStr">
        <is>
          <t>2026/9/21（月）～9/27（日）</t>
        </is>
      </c>
      <c r="B9" s="17" t="inlineStr">
        <is>
          <t>テスト計算・移管モデル確立</t>
        </is>
      </c>
      <c r="C9" s="18" t="inlineStr">
        <is>
          <t>・先行企業テスト計算
・計算結果確認
・エラー記録
・差し戻し記録
・顧客対応テスト
・納品フロー確認
・1社あたり工数更新
・難易度A/B/C基準確定
・標準企業／特殊企業分類
・秘書チーム／ワーカー役割分担
・必要人数再計算</t>
        </is>
      </c>
      <c r="D9" s="19" t="n">
        <v>6</v>
      </c>
      <c r="E9" s="20" t="n"/>
      <c r="F9" s="21">
        <f>SUMPRODUCT(('案件進捗管理'!$V$6:$V$115&lt;&gt;"")*('案件進捗管理'!$V$6:$V$115&lt;=DATE(2026,9,27)))</f>
        <v/>
      </c>
      <c r="G9" s="22" t="n">
        <v>90</v>
      </c>
      <c r="H9" s="23" t="n"/>
      <c r="I9" s="24">
        <f>IF('キャパシティ・必要人数'!$D$29=0,"",ROUNDUP(G9/'キャパシティ・必要人数'!$D$29,0))</f>
        <v/>
      </c>
      <c r="J9" s="25" t="n"/>
      <c r="K9" s="26">
        <f>IF(OR(E9="",N(E9)=0,H9=""),"",H9/E9)</f>
        <v/>
      </c>
      <c r="L9" s="18" t="inlineStr">
        <is>
          <t>・難易度A/B/C基準が確定している
・秘書チーム／ワーカーの役割分担が決まっている
・総必要工数÷担当者処理能力から10月の実運用可能社数を再計算できている
【暫定目安】先行引継ぎ累計10〜15社程度／テスト計算8〜12社程度</t>
        </is>
      </c>
      <c r="M9" s="27" t="inlineStr">
        <is>
          <t>未着手</t>
        </is>
      </c>
      <c r="N9" s="28" t="n"/>
      <c r="O9" s="28" t="n"/>
    </row>
    <row r="10" ht="132" customHeight="1">
      <c r="A10" s="29" t="inlineStr">
        <is>
          <t>2026/9/28（月）～10/4（日）</t>
        </is>
      </c>
      <c r="B10" s="30" t="inlineStr">
        <is>
          <t>先行企業 実運用開始</t>
        </is>
      </c>
      <c r="C10" s="31" t="inlineStr">
        <is>
          <t>・テスト済み企業から実運用開始
・資料回収
・勤怠取得
・給与計算
・質問対応
・顧客対応
・納品
・進捗管理
まで弊社側主体で実施
・確認ポイント記録
・差し戻し原因記録
・運用課題抽出
・追加ワーカー教育</t>
        </is>
      </c>
      <c r="D10" s="32" t="n">
        <v>0</v>
      </c>
      <c r="E10" s="20" t="n"/>
      <c r="F10" s="21">
        <f>SUMPRODUCT(('案件進捗管理'!$V$6:$V$115&lt;&gt;"")*('案件進捗管理'!$V$6:$V$115&lt;=DATE(2026,10,4)))</f>
        <v/>
      </c>
      <c r="G10" s="33" t="n">
        <v>100</v>
      </c>
      <c r="H10" s="23" t="n"/>
      <c r="I10" s="24">
        <f>IF('キャパシティ・必要人数'!$D$29=0,"",ROUNDUP(G10/'キャパシティ・必要人数'!$D$29,0))</f>
        <v/>
      </c>
      <c r="J10" s="25" t="n"/>
      <c r="K10" s="26">
        <f>IF(OR(E10="",N(E10)=0,H10=""),"",H10/E10)</f>
        <v/>
      </c>
      <c r="L10" s="31" t="inlineStr">
        <is>
          <t>・先行企業で資料回収〜納品まで弊社主体の運用が成立している
・差し戻し原因が記録されている
・追加ワーカーの教育が開始されている
【暫定目安】実運用開始5〜10社程度　※実工数によって自動見直しする</t>
        </is>
      </c>
      <c r="M10" s="27" t="inlineStr">
        <is>
          <t>未着手</t>
        </is>
      </c>
      <c r="N10" s="28" t="n"/>
      <c r="O10" s="28" t="n"/>
    </row>
    <row r="11" ht="132" customHeight="1">
      <c r="A11" s="16" t="inlineStr">
        <is>
          <t>2026/10/5（月）～10/11（日）</t>
        </is>
      </c>
      <c r="B11" s="17" t="inlineStr">
        <is>
          <t>先行企業安定化・第2グループ移管</t>
        </is>
      </c>
      <c r="C11" s="18" t="inlineStr">
        <is>
          <t>・先行企業の実運用継続
・発生課題の修正
・チェックシート改善
・第2グループ引継ぎ
・定型案件を追加ワーカーへ移管
・秘書チームは高難易度案件・管理業務中心へ移行</t>
        </is>
      </c>
      <c r="D11" s="19" t="n">
        <v>8</v>
      </c>
      <c r="E11" s="20" t="n"/>
      <c r="F11" s="21">
        <f>SUMPRODUCT(('案件進捗管理'!$V$6:$V$115&lt;&gt;"")*('案件進捗管理'!$V$6:$V$115&lt;=DATE(2026,10,11)))</f>
        <v/>
      </c>
      <c r="G11" s="22" t="n">
        <v>110</v>
      </c>
      <c r="H11" s="23" t="n"/>
      <c r="I11" s="24">
        <f>IF('キャパシティ・必要人数'!$D$29=0,"",ROUNDUP(G11/'キャパシティ・必要人数'!$D$29,0))</f>
        <v/>
      </c>
      <c r="J11" s="25" t="n"/>
      <c r="K11" s="26">
        <f>IF(OR(E11="",N(E11)=0,H11=""),"",H11/E11)</f>
        <v/>
      </c>
      <c r="L11" s="18" t="inlineStr">
        <is>
          <t>・先行企業の運用課題が解消されている
・定型案件の追加ワーカー移管が開始されている
・秘書チームが高難易度案件・管理業務中心に移行できている
【暫定目安】新規引継ぎ5〜10社程度／実運用累計10〜15社程度</t>
        </is>
      </c>
      <c r="M11" s="27" t="inlineStr">
        <is>
          <t>未着手</t>
        </is>
      </c>
      <c r="N11" s="28" t="n"/>
      <c r="O11" s="28" t="n"/>
    </row>
    <row r="12" ht="132" customHeight="1">
      <c r="A12" s="29" t="inlineStr">
        <is>
          <t>2026/10/12（月）～10/18（日）</t>
        </is>
      </c>
      <c r="B12" s="30" t="inlineStr">
        <is>
          <t>実運用対象拡大</t>
        </is>
      </c>
      <c r="C12" s="31" t="inlineStr">
        <is>
          <t>・実運用企業追加
・第2グループテスト計算
・定型企業のワーカー移管
・特殊企業の秘書チーム対応
・顧客対応範囲拡大
・An-field様側の確認工数測定
・会社別工数再計測</t>
        </is>
      </c>
      <c r="D12" s="32" t="n">
        <v>6</v>
      </c>
      <c r="E12" s="20" t="n"/>
      <c r="F12" s="21">
        <f>SUMPRODUCT(('案件進捗管理'!$V$6:$V$115&lt;&gt;"")*('案件進捗管理'!$V$6:$V$115&lt;=DATE(2026,10,18)))</f>
        <v/>
      </c>
      <c r="G12" s="33" t="n">
        <v>120</v>
      </c>
      <c r="H12" s="23" t="n"/>
      <c r="I12" s="24">
        <f>IF('キャパシティ・必要人数'!$D$29=0,"",ROUNDUP(G12/'キャパシティ・必要人数'!$D$29,0))</f>
        <v/>
      </c>
      <c r="J12" s="25" t="n"/>
      <c r="K12" s="26">
        <f>IF(OR(E12="",N(E12)=0,H12=""),"",H12/E12)</f>
        <v/>
      </c>
      <c r="L12" s="31" t="inlineStr">
        <is>
          <t>・An-field様側の確認工数が測定できている
・会社別工数が再計測され更新されている
・担当者単独で処理できた企業数が把握できている
【暫定目安】実運用累計15〜20社程度　【重要】企業数だけでなく、処理できた総工数／An-field様の確認が不要だった企業数／担当者単独で処理できた企業数もKPI化する</t>
        </is>
      </c>
      <c r="M12" s="27" t="inlineStr">
        <is>
          <t>未着手</t>
        </is>
      </c>
      <c r="N12" s="28" t="n"/>
      <c r="O12" s="28" t="n"/>
    </row>
    <row r="13" ht="132" customHeight="1">
      <c r="A13" s="16" t="inlineStr">
        <is>
          <t>2026/10/19（月）～10/25（日）</t>
        </is>
      </c>
      <c r="B13" s="17" t="inlineStr">
        <is>
          <t>移管ペース拡大・処理能力確認</t>
        </is>
      </c>
      <c r="C13" s="18" t="inlineStr">
        <is>
          <t>・対象企業追加
・難易度別担当再配置
・バックアップ担当設定
・属人化案件抽出
・追加採用要否判定
・処理能力再計算
・運用課題整理
・標準業務フロー改善</t>
        </is>
      </c>
      <c r="D13" s="19" t="n">
        <v>8</v>
      </c>
      <c r="E13" s="20" t="n"/>
      <c r="F13" s="21">
        <f>SUMPRODUCT(('案件進捗管理'!$V$6:$V$115&lt;&gt;"")*('案件進捗管理'!$V$6:$V$115&lt;=DATE(2026,10,25)))</f>
        <v/>
      </c>
      <c r="G13" s="22" t="n">
        <v>130</v>
      </c>
      <c r="H13" s="23" t="n"/>
      <c r="I13" s="24">
        <f>IF('キャパシティ・必要人数'!$D$29=0,"",ROUNDUP(G13/'キャパシティ・必要人数'!$D$29,0))</f>
        <v/>
      </c>
      <c r="J13" s="25" t="n"/>
      <c r="K13" s="26">
        <f>IF(OR(E13="",N(E13)=0,H13=""),"",H13/E13)</f>
        <v/>
      </c>
      <c r="L13" s="18" t="inlineStr">
        <is>
          <t>・平均工数／実働人数／1人あたり処理可能工数／1人あたり処理可能社数が算出できている
・バックアップ担当が設定されている
・属人化案件が抽出され追加採用要否を判定できている
【暫定目安】実運用累計20〜30社程度</t>
        </is>
      </c>
      <c r="M13" s="27" t="inlineStr">
        <is>
          <t>未着手</t>
        </is>
      </c>
      <c r="N13" s="28" t="n"/>
      <c r="O13" s="28" t="n"/>
    </row>
    <row r="14" ht="132" customHeight="1">
      <c r="A14" s="29" t="inlineStr">
        <is>
          <t>2026/10/26（月）～10/31（土）</t>
        </is>
      </c>
      <c r="B14" s="30" t="inlineStr">
        <is>
          <t>10月総括・次フェーズ判断</t>
        </is>
      </c>
      <c r="C14" s="31" t="inlineStr">
        <is>
          <t>・実運用実績集計
・会社別平均工数算出
・難易度別平均工数算出
・担当者別処理能力算出
・追加必要人数算出
・完全移管までの残工数算出
・課題一覧整理
・今後の移管方針判断</t>
        </is>
      </c>
      <c r="D14" s="32" t="n">
        <v>5</v>
      </c>
      <c r="E14" s="20" t="n"/>
      <c r="F14" s="21">
        <f>SUMPRODUCT(('案件進捗管理'!$V$6:$V$115&lt;&gt;"")*('案件進捗管理'!$V$6:$V$115&lt;=DATE(2026,10,31)))</f>
        <v/>
      </c>
      <c r="G14" s="33" t="n">
        <v>110</v>
      </c>
      <c r="H14" s="23" t="n"/>
      <c r="I14" s="24">
        <f>IF('キャパシティ・必要人数'!$D$29=0,"",ROUNDUP(G14/'キャパシティ・必要人数'!$D$29,0))</f>
        <v/>
      </c>
      <c r="J14" s="25" t="n"/>
      <c r="K14" s="26">
        <f>IF(OR(E14="",N(E14)=0,H14=""),"",H14/E14)</f>
        <v/>
      </c>
      <c r="L14" s="31" t="inlineStr">
        <is>
          <t>【10月末ゴール】以下がすべて明確になっている
・実運用済み企業数／自走可能企業数／完全移管企業数
・残企業数／残工数／必要追加人数
・1人あたりの処理能力と今後の移管ペース
【暫定目安】実運用累計25〜35社程度　※確定目標ではなく、現時点の暫定想定</t>
        </is>
      </c>
      <c r="M14" s="27" t="inlineStr">
        <is>
          <t>未着手</t>
        </is>
      </c>
      <c r="N14" s="28" t="n"/>
      <c r="O14" s="28" t="n"/>
    </row>
    <row r="15" ht="30" customHeight="1">
      <c r="A15" s="34" t="inlineStr">
        <is>
          <t>合計 / 最終（暫定計画値）</t>
        </is>
      </c>
      <c r="B15" s="35" t="n"/>
      <c r="C15" s="35" t="n"/>
      <c r="D15" s="35">
        <f>SUM(D7:D14)</f>
        <v/>
      </c>
      <c r="E15" s="35">
        <f>IF(COUNT(E7:E14)=0,"",SUM(E7:E14))</f>
        <v/>
      </c>
      <c r="F15" s="35">
        <f>MAX(F7:F14)</f>
        <v/>
      </c>
      <c r="G15" s="36">
        <f>SUM(G7:G14)</f>
        <v/>
      </c>
      <c r="H15" s="37">
        <f>IF(COUNT(H7:H14)=0,"",SUM(H7:H14))</f>
        <v/>
      </c>
      <c r="I15" s="38">
        <f>MAX(I7:I14)</f>
        <v/>
      </c>
      <c r="J15" s="38">
        <f>IF(COUNT(J7:J14)=0,"",MAX(J7:J14))</f>
        <v/>
      </c>
      <c r="K15" s="37">
        <f>IF(OR(E15="",H15=""),"",H15/E15)</f>
        <v/>
      </c>
      <c r="L15" s="34" t="inlineStr">
        <is>
          <t>※合計は暫定計画値の積み上げです。件数目標のために無理に移管せず、実工数と品質をもとに件数を調整してください。</t>
        </is>
      </c>
      <c r="M15" s="35" t="n"/>
      <c r="N15" s="35" t="n"/>
      <c r="O15" s="35" t="n"/>
    </row>
    <row r="17" ht="32" customHeight="1">
      <c r="A17" s="39" t="inlineStr">
        <is>
          <t>【完全移管の定義】「給与計算ができる状態」ではありません。資料回収・顧客対応・質問対応・勤怠取得・給与計算・チェック・納品・進捗管理・担当者管理・欠員時の再配置まで、An-field様が日常的に管理しなくても回る状態を指します。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 ht="32" customHeight="1">
      <c r="A18" s="40" t="inlineStr">
        <is>
          <t>【進捗は3軸で評価】①件数進捗＝何社が各ステータスまで進んだか　②工数進捗＝全体工数のうち何時間分の業務を移管できたか　③自走進捗＝何社がAn-field様の日常的な確認なしで運用できる状態になったか。「何社移管したか」だけでは判断しないでください。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</row>
    <row r="19" ht="32" customHeight="1">
      <c r="A19" s="42" t="inlineStr">
        <is>
          <t>【計画の考え方】「毎週○社移管する」という件数ありきの計画にはしません。会社ごとに給与計算工数・やり取り時間・資料回収時間・質問対応時間・使用ツール・締日・支給日・例外処理・特殊ルール・難易度が異なるため、『会社別総工数 × 難易度 ÷ 担当者処理能力』で処理能力を算出し、件数は結果として決まります。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</row>
    <row r="20" ht="32" customHeight="1">
      <c r="A20" s="44" t="inlineStr">
        <is>
          <t>【暫定値の扱い】計画対象企業数・計画工数・必要人数は暫定計画値です。実工数が不明なものは「暫定値」「要確認」とし、実績入力後に再計算してください。必要人数は『計画工数 ÷ 1人あたり週有効稼働時間』で自動算出しています（有効稼働時間はキャパシティシートの入力値から算出）。</t>
        </is>
      </c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</row>
    <row r="21" ht="26" customHeight="1">
      <c r="A21" s="44" t="inlineStr">
        <is>
          <t>【凡例】白＝暫定計画値（固定）　／　薄い黄色＝手入力　／　薄いグレー＝自動計算　／　赤＝警告・遅延・人員不足のみ。実働人数が必要人数を下回る週は実働人数セルが赤くなります。</t>
        </is>
      </c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</row>
  </sheetData>
  <autoFilter ref="A6:O14"/>
  <mergeCells count="12">
    <mergeCell ref="L5:O5"/>
    <mergeCell ref="A20:O20"/>
    <mergeCell ref="A2:O2"/>
    <mergeCell ref="A5:C5"/>
    <mergeCell ref="A19:O19"/>
    <mergeCell ref="A1:O1"/>
    <mergeCell ref="D5:K5"/>
    <mergeCell ref="A17:O17"/>
    <mergeCell ref="A18:O18"/>
    <mergeCell ref="A4:O4"/>
    <mergeCell ref="A3:O3"/>
    <mergeCell ref="A21:O21"/>
  </mergeCells>
  <conditionalFormatting sqref="M7:M14">
    <cfRule type="cellIs" priority="1" operator="equal" dxfId="0">
      <formula>"完了"</formula>
    </cfRule>
    <cfRule type="cellIs" priority="2" operator="equal" dxfId="1">
      <formula>"進行中"</formula>
    </cfRule>
    <cfRule type="cellIs" priority="3" operator="equal" dxfId="2">
      <formula>"遅延"</formula>
    </cfRule>
    <cfRule type="cellIs" priority="4" operator="equal" dxfId="3">
      <formula>"要確認"</formula>
    </cfRule>
    <cfRule type="cellIs" priority="5" operator="equal" dxfId="4">
      <formula>"未着手"</formula>
    </cfRule>
  </conditionalFormatting>
  <conditionalFormatting sqref="A7:O14">
    <cfRule type="expression" priority="6" dxfId="5">
      <formula>$M7="遅延"</formula>
    </cfRule>
    <cfRule type="expression" priority="7" dxfId="6">
      <formula>$M7="要確認"</formula>
    </cfRule>
  </conditionalFormatting>
  <conditionalFormatting sqref="J7:J14">
    <cfRule type="expression" priority="8" dxfId="2">
      <formula>AND($J7&lt;&gt;"",$J7&lt;$I7)</formula>
    </cfRule>
  </conditionalFormatting>
  <dataValidations count="1">
    <dataValidation sqref="M7:M14" showDropDown="0" showInputMessage="0" showErrorMessage="0" allowBlank="1" type="list">
      <formula1>"未着手,進行中,完了,遅延,要確認"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H35"/>
  <sheetViews>
    <sheetView showGridLines="0" zoomScale="85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11" customWidth="1" min="5" max="5"/>
    <col width="7" customWidth="1" min="6" max="6"/>
    <col width="9" customWidth="1" min="7" max="7"/>
    <col width="2.9" customWidth="1" min="8" max="8"/>
    <col width="2.9" customWidth="1" min="9" max="9"/>
    <col width="2.9" customWidth="1" min="10" max="10"/>
    <col width="2.9" customWidth="1" min="11" max="11"/>
    <col width="2.9" customWidth="1" min="12" max="12"/>
    <col width="2.9" customWidth="1" min="13" max="13"/>
    <col width="2.9" customWidth="1" min="14" max="14"/>
    <col width="2.9" customWidth="1" min="15" max="15"/>
    <col width="2.9" customWidth="1" min="16" max="16"/>
    <col width="2.9" customWidth="1" min="17" max="17"/>
    <col width="2.9" customWidth="1" min="18" max="18"/>
    <col width="2.9" customWidth="1" min="19" max="19"/>
    <col width="2.9" customWidth="1" min="20" max="20"/>
    <col width="2.9" customWidth="1" min="21" max="21"/>
    <col width="2.9" customWidth="1" min="22" max="22"/>
    <col width="2.9" customWidth="1" min="23" max="23"/>
    <col width="2.9" customWidth="1" min="24" max="24"/>
    <col width="2.9" customWidth="1" min="25" max="25"/>
    <col width="2.9" customWidth="1" min="26" max="26"/>
    <col width="2.9" customWidth="1" min="27" max="27"/>
    <col width="2.9" customWidth="1" min="28" max="28"/>
    <col width="2.9" customWidth="1" min="29" max="29"/>
    <col width="2.9" customWidth="1" min="30" max="30"/>
    <col width="2.9" customWidth="1" min="31" max="31"/>
    <col width="2.9" customWidth="1" min="32" max="32"/>
    <col width="2.9" customWidth="1" min="33" max="33"/>
    <col width="2.9" customWidth="1" min="34" max="34"/>
    <col width="2.9" customWidth="1" min="35" max="35"/>
    <col width="2.9" customWidth="1" min="36" max="36"/>
    <col width="2.9" customWidth="1" min="37" max="37"/>
    <col width="2.9" customWidth="1" min="38" max="38"/>
    <col width="2.9" customWidth="1" min="39" max="39"/>
    <col width="2.9" customWidth="1" min="40" max="40"/>
    <col width="2.9" customWidth="1" min="41" max="41"/>
    <col width="2.9" customWidth="1" min="42" max="42"/>
    <col width="2.9" customWidth="1" min="43" max="43"/>
    <col width="2.9" customWidth="1" min="44" max="44"/>
    <col width="2.9" customWidth="1" min="45" max="45"/>
    <col width="2.9" customWidth="1" min="46" max="46"/>
    <col width="2.9" customWidth="1" min="47" max="47"/>
    <col width="2.9" customWidth="1" min="48" max="48"/>
    <col width="2.9" customWidth="1" min="49" max="49"/>
    <col width="2.9" customWidth="1" min="50" max="50"/>
    <col width="2.9" customWidth="1" min="51" max="51"/>
    <col width="2.9" customWidth="1" min="52" max="52"/>
    <col width="2.9" customWidth="1" min="53" max="53"/>
    <col width="2.9" customWidth="1" min="54" max="54"/>
    <col width="2.9" customWidth="1" min="55" max="55"/>
    <col width="2.9" customWidth="1" min="56" max="56"/>
    <col width="2.9" customWidth="1" min="57" max="57"/>
    <col width="2.9" customWidth="1" min="58" max="58"/>
    <col width="2.9" customWidth="1" min="59" max="59"/>
    <col width="2.9" customWidth="1" min="60" max="60"/>
  </cols>
  <sheetData>
    <row r="1" ht="34" customHeight="1">
      <c r="A1" s="1" t="inlineStr">
        <is>
          <t>An-field様　給与計算業務 完全移管　ガントチャート（2026/9/9 ～ 10/31）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20" customHeight="1">
      <c r="A2" s="3" t="inlineStr">
        <is>
          <t>色分け：情報整理＝グレー／採用＝紫／引継ぎ＝青／テスト＝水色／実運用＝緑／検証＝オレンジ／リスク＝赤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</row>
    <row r="3" ht="18" customHeight="1">
      <c r="A3" s="5" t="inlineStr">
        <is>
          <t>※本シートの件数・工数・人数はすべて【暫定計画値】です。会社別工数・実績確認後に更新してください（確定値ではありません）。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 ht="18" customHeight="1">
      <c r="A4" s="7" t="inlineStr">
        <is>
          <t>【重要】10月＝完全移管ではありません。10月は「先行企業 実運用・対象企業拡大」フェーズです。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</row>
    <row r="5" ht="20" customHeight="1">
      <c r="A5" s="46" t="inlineStr">
        <is>
          <t>【凡例】区分の色</t>
        </is>
      </c>
      <c r="H5" s="47" t="n"/>
      <c r="I5" s="48" t="inlineStr">
        <is>
          <t>情報整理</t>
        </is>
      </c>
      <c r="N5" s="49" t="n"/>
      <c r="O5" s="48" t="inlineStr">
        <is>
          <t>採用</t>
        </is>
      </c>
      <c r="T5" s="50" t="n"/>
      <c r="U5" s="48" t="inlineStr">
        <is>
          <t>引継ぎ</t>
        </is>
      </c>
      <c r="Z5" s="51" t="n"/>
      <c r="AA5" s="48" t="inlineStr">
        <is>
          <t>テスト</t>
        </is>
      </c>
      <c r="AF5" s="52" t="n"/>
      <c r="AG5" s="48" t="inlineStr">
        <is>
          <t>実運用</t>
        </is>
      </c>
      <c r="AL5" s="53" t="n"/>
      <c r="AM5" s="48" t="inlineStr">
        <is>
          <t>検証</t>
        </is>
      </c>
      <c r="AR5" s="54" t="n"/>
      <c r="AS5" s="48" t="inlineStr">
        <is>
          <t>リスク</t>
        </is>
      </c>
    </row>
    <row r="6" ht="20" customHeight="1">
      <c r="A6" s="55" t="inlineStr">
        <is>
          <t>月フェーズ</t>
        </is>
      </c>
      <c r="B6" s="56" t="n"/>
      <c r="C6" s="56" t="n"/>
      <c r="D6" s="56" t="n"/>
      <c r="E6" s="56" t="n"/>
      <c r="F6" s="56" t="n"/>
      <c r="G6" s="56" t="n"/>
      <c r="H6" s="57" t="inlineStr">
        <is>
          <t>9月：全社情報整理・優先順位決定・先行企業引継ぎ・テスト計算・採用</t>
        </is>
      </c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58" t="inlineStr">
        <is>
          <t>10月：先行企業 実運用・対象企業拡大・運用精度確認　※完全移管ではありません</t>
        </is>
      </c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</row>
    <row r="7" ht="18" customHeight="1">
      <c r="A7" s="15" t="inlineStr">
        <is>
          <t>No.</t>
        </is>
      </c>
      <c r="B7" s="15" t="inlineStr">
        <is>
          <t>タスク</t>
        </is>
      </c>
      <c r="C7" s="15" t="inlineStr">
        <is>
          <t>区分</t>
        </is>
      </c>
      <c r="D7" s="15" t="inlineStr">
        <is>
          <t>開始日
（暫定）</t>
        </is>
      </c>
      <c r="E7" s="15" t="inlineStr">
        <is>
          <t>終了日
（暫定）</t>
        </is>
      </c>
      <c r="F7" s="15" t="inlineStr">
        <is>
          <t>日数</t>
        </is>
      </c>
      <c r="G7" s="15" t="inlineStr">
        <is>
          <t>進捗率
【入力】</t>
        </is>
      </c>
      <c r="H7" s="59" t="inlineStr">
        <is>
          <t>第1週 9/9～9/13</t>
        </is>
      </c>
      <c r="I7" s="56" t="n"/>
      <c r="J7" s="56" t="n"/>
      <c r="K7" s="56" t="n"/>
      <c r="L7" s="56" t="n"/>
      <c r="M7" s="59" t="inlineStr">
        <is>
          <t>第2週 9/14～9/20</t>
        </is>
      </c>
      <c r="N7" s="56" t="n"/>
      <c r="O7" s="56" t="n"/>
      <c r="P7" s="56" t="n"/>
      <c r="Q7" s="56" t="n"/>
      <c r="R7" s="56" t="n"/>
      <c r="S7" s="56" t="n"/>
      <c r="T7" s="59" t="inlineStr">
        <is>
          <t>第3週 9/21～9/27</t>
        </is>
      </c>
      <c r="U7" s="56" t="n"/>
      <c r="V7" s="56" t="n"/>
      <c r="W7" s="56" t="n"/>
      <c r="X7" s="56" t="n"/>
      <c r="Y7" s="56" t="n"/>
      <c r="Z7" s="56" t="n"/>
      <c r="AA7" s="59" t="inlineStr">
        <is>
          <t>第4週 9/28～10/4</t>
        </is>
      </c>
      <c r="AB7" s="56" t="n"/>
      <c r="AC7" s="56" t="n"/>
      <c r="AD7" s="56" t="n"/>
      <c r="AE7" s="56" t="n"/>
      <c r="AF7" s="56" t="n"/>
      <c r="AG7" s="56" t="n"/>
      <c r="AH7" s="59" t="inlineStr">
        <is>
          <t>第5週 10/5～10/11</t>
        </is>
      </c>
      <c r="AI7" s="56" t="n"/>
      <c r="AJ7" s="56" t="n"/>
      <c r="AK7" s="56" t="n"/>
      <c r="AL7" s="56" t="n"/>
      <c r="AM7" s="56" t="n"/>
      <c r="AN7" s="56" t="n"/>
      <c r="AO7" s="59" t="inlineStr">
        <is>
          <t>第6週 10/12～10/18</t>
        </is>
      </c>
      <c r="AP7" s="56" t="n"/>
      <c r="AQ7" s="56" t="n"/>
      <c r="AR7" s="56" t="n"/>
      <c r="AS7" s="56" t="n"/>
      <c r="AT7" s="56" t="n"/>
      <c r="AU7" s="56" t="n"/>
      <c r="AV7" s="59" t="inlineStr">
        <is>
          <t>第7週 10/19～10/25</t>
        </is>
      </c>
      <c r="AW7" s="56" t="n"/>
      <c r="AX7" s="56" t="n"/>
      <c r="AY7" s="56" t="n"/>
      <c r="AZ7" s="56" t="n"/>
      <c r="BA7" s="56" t="n"/>
      <c r="BB7" s="56" t="n"/>
      <c r="BC7" s="59" t="inlineStr">
        <is>
          <t>第8週 10/26～10/31</t>
        </is>
      </c>
      <c r="BD7" s="56" t="n"/>
      <c r="BE7" s="56" t="n"/>
      <c r="BF7" s="56" t="n"/>
      <c r="BG7" s="56" t="n"/>
      <c r="BH7" s="56" t="n"/>
    </row>
    <row r="8" ht="24" customHeight="1">
      <c r="A8" s="60" t="n"/>
      <c r="B8" s="60" t="n"/>
      <c r="C8" s="60" t="n"/>
      <c r="D8" s="60" t="n"/>
      <c r="E8" s="60" t="n"/>
      <c r="F8" s="60" t="n"/>
      <c r="G8" s="60" t="n"/>
      <c r="H8" s="61" t="n">
        <v>46274</v>
      </c>
      <c r="I8" s="61" t="n">
        <v>46275</v>
      </c>
      <c r="J8" s="61" t="n">
        <v>46276</v>
      </c>
      <c r="K8" s="61" t="n">
        <v>46277</v>
      </c>
      <c r="L8" s="61" t="n">
        <v>46278</v>
      </c>
      <c r="M8" s="61" t="n">
        <v>46279</v>
      </c>
      <c r="N8" s="61" t="n">
        <v>46280</v>
      </c>
      <c r="O8" s="61" t="n">
        <v>46281</v>
      </c>
      <c r="P8" s="61" t="n">
        <v>46282</v>
      </c>
      <c r="Q8" s="61" t="n">
        <v>46283</v>
      </c>
      <c r="R8" s="61" t="n">
        <v>46284</v>
      </c>
      <c r="S8" s="61" t="n">
        <v>46285</v>
      </c>
      <c r="T8" s="61" t="n">
        <v>46286</v>
      </c>
      <c r="U8" s="61" t="n">
        <v>46287</v>
      </c>
      <c r="V8" s="61" t="n">
        <v>46288</v>
      </c>
      <c r="W8" s="61" t="n">
        <v>46289</v>
      </c>
      <c r="X8" s="61" t="n">
        <v>46290</v>
      </c>
      <c r="Y8" s="61" t="n">
        <v>46291</v>
      </c>
      <c r="Z8" s="61" t="n">
        <v>46292</v>
      </c>
      <c r="AA8" s="62" t="n">
        <v>46293</v>
      </c>
      <c r="AB8" s="61" t="n">
        <v>46294</v>
      </c>
      <c r="AC8" s="61" t="n">
        <v>46295</v>
      </c>
      <c r="AD8" s="61" t="n">
        <v>46296</v>
      </c>
      <c r="AE8" s="61" t="n">
        <v>46297</v>
      </c>
      <c r="AF8" s="61" t="n">
        <v>46298</v>
      </c>
      <c r="AG8" s="61" t="n">
        <v>46299</v>
      </c>
      <c r="AH8" s="61" t="n">
        <v>46300</v>
      </c>
      <c r="AI8" s="61" t="n">
        <v>46301</v>
      </c>
      <c r="AJ8" s="61" t="n">
        <v>46302</v>
      </c>
      <c r="AK8" s="61" t="n">
        <v>46303</v>
      </c>
      <c r="AL8" s="61" t="n">
        <v>46304</v>
      </c>
      <c r="AM8" s="61" t="n">
        <v>46305</v>
      </c>
      <c r="AN8" s="61" t="n">
        <v>46306</v>
      </c>
      <c r="AO8" s="61" t="n">
        <v>46307</v>
      </c>
      <c r="AP8" s="61" t="n">
        <v>46308</v>
      </c>
      <c r="AQ8" s="61" t="n">
        <v>46309</v>
      </c>
      <c r="AR8" s="61" t="n">
        <v>46310</v>
      </c>
      <c r="AS8" s="61" t="n">
        <v>46311</v>
      </c>
      <c r="AT8" s="61" t="n">
        <v>46312</v>
      </c>
      <c r="AU8" s="61" t="n">
        <v>46313</v>
      </c>
      <c r="AV8" s="61" t="n">
        <v>46314</v>
      </c>
      <c r="AW8" s="61" t="n">
        <v>46315</v>
      </c>
      <c r="AX8" s="61" t="n">
        <v>46316</v>
      </c>
      <c r="AY8" s="61" t="n">
        <v>46317</v>
      </c>
      <c r="AZ8" s="61" t="n">
        <v>46318</v>
      </c>
      <c r="BA8" s="61" t="n">
        <v>46319</v>
      </c>
      <c r="BB8" s="61" t="n">
        <v>46320</v>
      </c>
      <c r="BC8" s="61" t="n">
        <v>46321</v>
      </c>
      <c r="BD8" s="61" t="n">
        <v>46322</v>
      </c>
      <c r="BE8" s="61" t="n">
        <v>46323</v>
      </c>
      <c r="BF8" s="61" t="n">
        <v>46324</v>
      </c>
      <c r="BG8" s="61" t="n">
        <v>46325</v>
      </c>
      <c r="BH8" s="63" t="n">
        <v>46326</v>
      </c>
    </row>
    <row r="9" ht="16" customHeight="1">
      <c r="A9" s="60" t="n"/>
      <c r="B9" s="60" t="n"/>
      <c r="C9" s="60" t="n"/>
      <c r="D9" s="60" t="n"/>
      <c r="E9" s="60" t="n"/>
      <c r="F9" s="60" t="n"/>
      <c r="G9" s="60" t="n"/>
      <c r="H9" s="64" t="inlineStr">
        <is>
          <t>水</t>
        </is>
      </c>
      <c r="I9" s="64" t="inlineStr">
        <is>
          <t>木</t>
        </is>
      </c>
      <c r="J9" s="64" t="inlineStr">
        <is>
          <t>金</t>
        </is>
      </c>
      <c r="K9" s="65" t="inlineStr">
        <is>
          <t>土</t>
        </is>
      </c>
      <c r="L9" s="65" t="inlineStr">
        <is>
          <t>日</t>
        </is>
      </c>
      <c r="M9" s="64" t="inlineStr">
        <is>
          <t>月</t>
        </is>
      </c>
      <c r="N9" s="64" t="inlineStr">
        <is>
          <t>火</t>
        </is>
      </c>
      <c r="O9" s="64" t="inlineStr">
        <is>
          <t>水</t>
        </is>
      </c>
      <c r="P9" s="64" t="inlineStr">
        <is>
          <t>木</t>
        </is>
      </c>
      <c r="Q9" s="64" t="inlineStr">
        <is>
          <t>金</t>
        </is>
      </c>
      <c r="R9" s="65" t="inlineStr">
        <is>
          <t>土</t>
        </is>
      </c>
      <c r="S9" s="65" t="inlineStr">
        <is>
          <t>日</t>
        </is>
      </c>
      <c r="T9" s="64" t="inlineStr">
        <is>
          <t>月</t>
        </is>
      </c>
      <c r="U9" s="64" t="inlineStr">
        <is>
          <t>火</t>
        </is>
      </c>
      <c r="V9" s="64" t="inlineStr">
        <is>
          <t>水</t>
        </is>
      </c>
      <c r="W9" s="64" t="inlineStr">
        <is>
          <t>木</t>
        </is>
      </c>
      <c r="X9" s="64" t="inlineStr">
        <is>
          <t>金</t>
        </is>
      </c>
      <c r="Y9" s="65" t="inlineStr">
        <is>
          <t>土</t>
        </is>
      </c>
      <c r="Z9" s="65" t="inlineStr">
        <is>
          <t>日</t>
        </is>
      </c>
      <c r="AA9" s="66" t="inlineStr">
        <is>
          <t>月</t>
        </is>
      </c>
      <c r="AB9" s="64" t="inlineStr">
        <is>
          <t>火</t>
        </is>
      </c>
      <c r="AC9" s="64" t="inlineStr">
        <is>
          <t>水</t>
        </is>
      </c>
      <c r="AD9" s="64" t="inlineStr">
        <is>
          <t>木</t>
        </is>
      </c>
      <c r="AE9" s="64" t="inlineStr">
        <is>
          <t>金</t>
        </is>
      </c>
      <c r="AF9" s="65" t="inlineStr">
        <is>
          <t>土</t>
        </is>
      </c>
      <c r="AG9" s="65" t="inlineStr">
        <is>
          <t>日</t>
        </is>
      </c>
      <c r="AH9" s="64" t="inlineStr">
        <is>
          <t>月</t>
        </is>
      </c>
      <c r="AI9" s="64" t="inlineStr">
        <is>
          <t>火</t>
        </is>
      </c>
      <c r="AJ9" s="64" t="inlineStr">
        <is>
          <t>水</t>
        </is>
      </c>
      <c r="AK9" s="64" t="inlineStr">
        <is>
          <t>木</t>
        </is>
      </c>
      <c r="AL9" s="64" t="inlineStr">
        <is>
          <t>金</t>
        </is>
      </c>
      <c r="AM9" s="65" t="inlineStr">
        <is>
          <t>土</t>
        </is>
      </c>
      <c r="AN9" s="65" t="inlineStr">
        <is>
          <t>日</t>
        </is>
      </c>
      <c r="AO9" s="64" t="inlineStr">
        <is>
          <t>月</t>
        </is>
      </c>
      <c r="AP9" s="64" t="inlineStr">
        <is>
          <t>火</t>
        </is>
      </c>
      <c r="AQ9" s="64" t="inlineStr">
        <is>
          <t>水</t>
        </is>
      </c>
      <c r="AR9" s="64" t="inlineStr">
        <is>
          <t>木</t>
        </is>
      </c>
      <c r="AS9" s="64" t="inlineStr">
        <is>
          <t>金</t>
        </is>
      </c>
      <c r="AT9" s="65" t="inlineStr">
        <is>
          <t>土</t>
        </is>
      </c>
      <c r="AU9" s="65" t="inlineStr">
        <is>
          <t>日</t>
        </is>
      </c>
      <c r="AV9" s="64" t="inlineStr">
        <is>
          <t>月</t>
        </is>
      </c>
      <c r="AW9" s="64" t="inlineStr">
        <is>
          <t>火</t>
        </is>
      </c>
      <c r="AX9" s="64" t="inlineStr">
        <is>
          <t>水</t>
        </is>
      </c>
      <c r="AY9" s="64" t="inlineStr">
        <is>
          <t>木</t>
        </is>
      </c>
      <c r="AZ9" s="64" t="inlineStr">
        <is>
          <t>金</t>
        </is>
      </c>
      <c r="BA9" s="65" t="inlineStr">
        <is>
          <t>土</t>
        </is>
      </c>
      <c r="BB9" s="65" t="inlineStr">
        <is>
          <t>日</t>
        </is>
      </c>
      <c r="BC9" s="64" t="inlineStr">
        <is>
          <t>月</t>
        </is>
      </c>
      <c r="BD9" s="64" t="inlineStr">
        <is>
          <t>火</t>
        </is>
      </c>
      <c r="BE9" s="64" t="inlineStr">
        <is>
          <t>水</t>
        </is>
      </c>
      <c r="BF9" s="64" t="inlineStr">
        <is>
          <t>木</t>
        </is>
      </c>
      <c r="BG9" s="64" t="inlineStr">
        <is>
          <t>金</t>
        </is>
      </c>
      <c r="BH9" s="67" t="inlineStr">
        <is>
          <t>土</t>
        </is>
      </c>
    </row>
    <row r="10" ht="20" customHeight="1">
      <c r="A10" s="68" t="n">
        <v>1</v>
      </c>
      <c r="B10" s="69" t="inlineStr">
        <is>
          <t>全社情報整理</t>
        </is>
      </c>
      <c r="C10" s="70" t="inlineStr">
        <is>
          <t>情報整理</t>
        </is>
      </c>
      <c r="D10" s="71" t="n">
        <v>46274</v>
      </c>
      <c r="E10" s="71" t="n">
        <v>46285</v>
      </c>
      <c r="F10" s="72">
        <f>E10-D10+1</f>
        <v/>
      </c>
      <c r="G10" s="73" t="n">
        <v>0</v>
      </c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5" t="n"/>
      <c r="U10" s="75" t="n"/>
      <c r="V10" s="75" t="n"/>
      <c r="W10" s="75" t="n"/>
      <c r="X10" s="75" t="n"/>
      <c r="Y10" s="76" t="n"/>
      <c r="Z10" s="76" t="n"/>
      <c r="AA10" s="77" t="n"/>
      <c r="AB10" s="75" t="n"/>
      <c r="AC10" s="75" t="n"/>
      <c r="AD10" s="75" t="n"/>
      <c r="AE10" s="75" t="n"/>
      <c r="AF10" s="76" t="n"/>
      <c r="AG10" s="76" t="n"/>
      <c r="AH10" s="75" t="n"/>
      <c r="AI10" s="75" t="n"/>
      <c r="AJ10" s="75" t="n"/>
      <c r="AK10" s="75" t="n"/>
      <c r="AL10" s="75" t="n"/>
      <c r="AM10" s="76" t="n"/>
      <c r="AN10" s="76" t="n"/>
      <c r="AO10" s="75" t="n"/>
      <c r="AP10" s="75" t="n"/>
      <c r="AQ10" s="75" t="n"/>
      <c r="AR10" s="75" t="n"/>
      <c r="AS10" s="75" t="n"/>
      <c r="AT10" s="76" t="n"/>
      <c r="AU10" s="76" t="n"/>
      <c r="AV10" s="75" t="n"/>
      <c r="AW10" s="75" t="n"/>
      <c r="AX10" s="75" t="n"/>
      <c r="AY10" s="75" t="n"/>
      <c r="AZ10" s="75" t="n"/>
      <c r="BA10" s="76" t="n"/>
      <c r="BB10" s="76" t="n"/>
      <c r="BC10" s="75" t="n"/>
      <c r="BD10" s="75" t="n"/>
      <c r="BE10" s="75" t="n"/>
      <c r="BF10" s="75" t="n"/>
      <c r="BG10" s="75" t="n"/>
      <c r="BH10" s="78" t="n"/>
    </row>
    <row r="11" ht="20" customHeight="1">
      <c r="A11" s="68" t="n">
        <v>2</v>
      </c>
      <c r="B11" s="69" t="inlineStr">
        <is>
          <t>会社別工数確認</t>
        </is>
      </c>
      <c r="C11" s="70" t="inlineStr">
        <is>
          <t>情報整理</t>
        </is>
      </c>
      <c r="D11" s="71" t="n">
        <v>46274</v>
      </c>
      <c r="E11" s="71" t="n">
        <v>46326</v>
      </c>
      <c r="F11" s="72">
        <f>E11-D11+1</f>
        <v/>
      </c>
      <c r="G11" s="73" t="n">
        <v>0</v>
      </c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9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  <c r="AR11" s="74" t="n"/>
      <c r="AS11" s="74" t="n"/>
      <c r="AT11" s="74" t="n"/>
      <c r="AU11" s="74" t="n"/>
      <c r="AV11" s="74" t="n"/>
      <c r="AW11" s="74" t="n"/>
      <c r="AX11" s="74" t="n"/>
      <c r="AY11" s="74" t="n"/>
      <c r="AZ11" s="74" t="n"/>
      <c r="BA11" s="74" t="n"/>
      <c r="BB11" s="74" t="n"/>
      <c r="BC11" s="74" t="n"/>
      <c r="BD11" s="74" t="n"/>
      <c r="BE11" s="74" t="n"/>
      <c r="BF11" s="74" t="n"/>
      <c r="BG11" s="74" t="n"/>
      <c r="BH11" s="80" t="n"/>
    </row>
    <row r="12" ht="20" customHeight="1">
      <c r="A12" s="68" t="n">
        <v>3</v>
      </c>
      <c r="B12" s="69" t="inlineStr">
        <is>
          <t>難易度分類</t>
        </is>
      </c>
      <c r="C12" s="70" t="inlineStr">
        <is>
          <t>情報整理</t>
        </is>
      </c>
      <c r="D12" s="71" t="n">
        <v>46274</v>
      </c>
      <c r="E12" s="71" t="n">
        <v>46292</v>
      </c>
      <c r="F12" s="72">
        <f>E12-D12+1</f>
        <v/>
      </c>
      <c r="G12" s="73" t="n">
        <v>0</v>
      </c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7" t="n"/>
      <c r="AB12" s="75" t="n"/>
      <c r="AC12" s="75" t="n"/>
      <c r="AD12" s="75" t="n"/>
      <c r="AE12" s="75" t="n"/>
      <c r="AF12" s="76" t="n"/>
      <c r="AG12" s="76" t="n"/>
      <c r="AH12" s="75" t="n"/>
      <c r="AI12" s="75" t="n"/>
      <c r="AJ12" s="75" t="n"/>
      <c r="AK12" s="75" t="n"/>
      <c r="AL12" s="75" t="n"/>
      <c r="AM12" s="76" t="n"/>
      <c r="AN12" s="76" t="n"/>
      <c r="AO12" s="75" t="n"/>
      <c r="AP12" s="75" t="n"/>
      <c r="AQ12" s="75" t="n"/>
      <c r="AR12" s="75" t="n"/>
      <c r="AS12" s="75" t="n"/>
      <c r="AT12" s="76" t="n"/>
      <c r="AU12" s="76" t="n"/>
      <c r="AV12" s="75" t="n"/>
      <c r="AW12" s="75" t="n"/>
      <c r="AX12" s="75" t="n"/>
      <c r="AY12" s="75" t="n"/>
      <c r="AZ12" s="75" t="n"/>
      <c r="BA12" s="76" t="n"/>
      <c r="BB12" s="76" t="n"/>
      <c r="BC12" s="75" t="n"/>
      <c r="BD12" s="75" t="n"/>
      <c r="BE12" s="75" t="n"/>
      <c r="BF12" s="75" t="n"/>
      <c r="BG12" s="75" t="n"/>
      <c r="BH12" s="78" t="n"/>
    </row>
    <row r="13" ht="20" customHeight="1">
      <c r="A13" s="68" t="n">
        <v>4</v>
      </c>
      <c r="B13" s="69" t="inlineStr">
        <is>
          <t>優先順位決定</t>
        </is>
      </c>
      <c r="C13" s="70" t="inlineStr">
        <is>
          <t>情報整理</t>
        </is>
      </c>
      <c r="D13" s="71" t="n">
        <v>46274</v>
      </c>
      <c r="E13" s="71" t="n">
        <v>46278</v>
      </c>
      <c r="F13" s="72">
        <f>E13-D13+1</f>
        <v/>
      </c>
      <c r="G13" s="73" t="n">
        <v>0</v>
      </c>
      <c r="H13" s="74" t="n"/>
      <c r="I13" s="74" t="n"/>
      <c r="J13" s="74" t="n"/>
      <c r="K13" s="74" t="n"/>
      <c r="L13" s="74" t="n"/>
      <c r="M13" s="75" t="n"/>
      <c r="N13" s="75" t="n"/>
      <c r="O13" s="75" t="n"/>
      <c r="P13" s="75" t="n"/>
      <c r="Q13" s="75" t="n"/>
      <c r="R13" s="76" t="n"/>
      <c r="S13" s="76" t="n"/>
      <c r="T13" s="75" t="n"/>
      <c r="U13" s="75" t="n"/>
      <c r="V13" s="75" t="n"/>
      <c r="W13" s="75" t="n"/>
      <c r="X13" s="75" t="n"/>
      <c r="Y13" s="76" t="n"/>
      <c r="Z13" s="76" t="n"/>
      <c r="AA13" s="77" t="n"/>
      <c r="AB13" s="75" t="n"/>
      <c r="AC13" s="75" t="n"/>
      <c r="AD13" s="75" t="n"/>
      <c r="AE13" s="75" t="n"/>
      <c r="AF13" s="76" t="n"/>
      <c r="AG13" s="76" t="n"/>
      <c r="AH13" s="75" t="n"/>
      <c r="AI13" s="75" t="n"/>
      <c r="AJ13" s="75" t="n"/>
      <c r="AK13" s="75" t="n"/>
      <c r="AL13" s="75" t="n"/>
      <c r="AM13" s="76" t="n"/>
      <c r="AN13" s="76" t="n"/>
      <c r="AO13" s="75" t="n"/>
      <c r="AP13" s="75" t="n"/>
      <c r="AQ13" s="75" t="n"/>
      <c r="AR13" s="75" t="n"/>
      <c r="AS13" s="75" t="n"/>
      <c r="AT13" s="76" t="n"/>
      <c r="AU13" s="76" t="n"/>
      <c r="AV13" s="75" t="n"/>
      <c r="AW13" s="75" t="n"/>
      <c r="AX13" s="75" t="n"/>
      <c r="AY13" s="75" t="n"/>
      <c r="AZ13" s="75" t="n"/>
      <c r="BA13" s="76" t="n"/>
      <c r="BB13" s="76" t="n"/>
      <c r="BC13" s="75" t="n"/>
      <c r="BD13" s="75" t="n"/>
      <c r="BE13" s="75" t="n"/>
      <c r="BF13" s="75" t="n"/>
      <c r="BG13" s="75" t="n"/>
      <c r="BH13" s="78" t="n"/>
    </row>
    <row r="14" ht="20" customHeight="1">
      <c r="A14" s="68" t="n">
        <v>5</v>
      </c>
      <c r="B14" s="69" t="inlineStr">
        <is>
          <t>先行企業選定</t>
        </is>
      </c>
      <c r="C14" s="70" t="inlineStr">
        <is>
          <t>情報整理</t>
        </is>
      </c>
      <c r="D14" s="71" t="n">
        <v>46274</v>
      </c>
      <c r="E14" s="71" t="n">
        <v>46278</v>
      </c>
      <c r="F14" s="72">
        <f>E14-D14+1</f>
        <v/>
      </c>
      <c r="G14" s="73" t="n">
        <v>0</v>
      </c>
      <c r="H14" s="74" t="n"/>
      <c r="I14" s="74" t="n"/>
      <c r="J14" s="74" t="n"/>
      <c r="K14" s="74" t="n"/>
      <c r="L14" s="74" t="n"/>
      <c r="M14" s="75" t="n"/>
      <c r="N14" s="75" t="n"/>
      <c r="O14" s="75" t="n"/>
      <c r="P14" s="75" t="n"/>
      <c r="Q14" s="75" t="n"/>
      <c r="R14" s="76" t="n"/>
      <c r="S14" s="76" t="n"/>
      <c r="T14" s="75" t="n"/>
      <c r="U14" s="75" t="n"/>
      <c r="V14" s="75" t="n"/>
      <c r="W14" s="75" t="n"/>
      <c r="X14" s="75" t="n"/>
      <c r="Y14" s="76" t="n"/>
      <c r="Z14" s="76" t="n"/>
      <c r="AA14" s="77" t="n"/>
      <c r="AB14" s="75" t="n"/>
      <c r="AC14" s="75" t="n"/>
      <c r="AD14" s="75" t="n"/>
      <c r="AE14" s="75" t="n"/>
      <c r="AF14" s="76" t="n"/>
      <c r="AG14" s="76" t="n"/>
      <c r="AH14" s="75" t="n"/>
      <c r="AI14" s="75" t="n"/>
      <c r="AJ14" s="75" t="n"/>
      <c r="AK14" s="75" t="n"/>
      <c r="AL14" s="75" t="n"/>
      <c r="AM14" s="76" t="n"/>
      <c r="AN14" s="76" t="n"/>
      <c r="AO14" s="75" t="n"/>
      <c r="AP14" s="75" t="n"/>
      <c r="AQ14" s="75" t="n"/>
      <c r="AR14" s="75" t="n"/>
      <c r="AS14" s="75" t="n"/>
      <c r="AT14" s="76" t="n"/>
      <c r="AU14" s="76" t="n"/>
      <c r="AV14" s="75" t="n"/>
      <c r="AW14" s="75" t="n"/>
      <c r="AX14" s="75" t="n"/>
      <c r="AY14" s="75" t="n"/>
      <c r="AZ14" s="75" t="n"/>
      <c r="BA14" s="76" t="n"/>
      <c r="BB14" s="76" t="n"/>
      <c r="BC14" s="75" t="n"/>
      <c r="BD14" s="75" t="n"/>
      <c r="BE14" s="75" t="n"/>
      <c r="BF14" s="75" t="n"/>
      <c r="BG14" s="75" t="n"/>
      <c r="BH14" s="78" t="n"/>
    </row>
    <row r="15" ht="20" customHeight="1">
      <c r="A15" s="68" t="n">
        <v>6</v>
      </c>
      <c r="B15" s="69" t="inlineStr">
        <is>
          <t>先行企業引継ぎ</t>
        </is>
      </c>
      <c r="C15" s="81" t="inlineStr">
        <is>
          <t>引継ぎ</t>
        </is>
      </c>
      <c r="D15" s="71" t="n">
        <v>46279</v>
      </c>
      <c r="E15" s="71" t="n">
        <v>46292</v>
      </c>
      <c r="F15" s="72">
        <f>E15-D15+1</f>
        <v/>
      </c>
      <c r="G15" s="73" t="n">
        <v>0</v>
      </c>
      <c r="H15" s="75" t="n"/>
      <c r="I15" s="75" t="n"/>
      <c r="J15" s="75" t="n"/>
      <c r="K15" s="76" t="n"/>
      <c r="L15" s="76" t="n"/>
      <c r="M15" s="82" t="n"/>
      <c r="N15" s="82" t="n"/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77" t="n"/>
      <c r="AB15" s="75" t="n"/>
      <c r="AC15" s="75" t="n"/>
      <c r="AD15" s="75" t="n"/>
      <c r="AE15" s="75" t="n"/>
      <c r="AF15" s="76" t="n"/>
      <c r="AG15" s="76" t="n"/>
      <c r="AH15" s="75" t="n"/>
      <c r="AI15" s="75" t="n"/>
      <c r="AJ15" s="75" t="n"/>
      <c r="AK15" s="75" t="n"/>
      <c r="AL15" s="75" t="n"/>
      <c r="AM15" s="76" t="n"/>
      <c r="AN15" s="76" t="n"/>
      <c r="AO15" s="75" t="n"/>
      <c r="AP15" s="75" t="n"/>
      <c r="AQ15" s="75" t="n"/>
      <c r="AR15" s="75" t="n"/>
      <c r="AS15" s="75" t="n"/>
      <c r="AT15" s="76" t="n"/>
      <c r="AU15" s="76" t="n"/>
      <c r="AV15" s="75" t="n"/>
      <c r="AW15" s="75" t="n"/>
      <c r="AX15" s="75" t="n"/>
      <c r="AY15" s="75" t="n"/>
      <c r="AZ15" s="75" t="n"/>
      <c r="BA15" s="76" t="n"/>
      <c r="BB15" s="76" t="n"/>
      <c r="BC15" s="75" t="n"/>
      <c r="BD15" s="75" t="n"/>
      <c r="BE15" s="75" t="n"/>
      <c r="BF15" s="75" t="n"/>
      <c r="BG15" s="75" t="n"/>
      <c r="BH15" s="78" t="n"/>
    </row>
    <row r="16" ht="20" customHeight="1">
      <c r="A16" s="68" t="n">
        <v>7</v>
      </c>
      <c r="B16" s="69" t="inlineStr">
        <is>
          <t>テスト計算</t>
        </is>
      </c>
      <c r="C16" s="83" t="inlineStr">
        <is>
          <t>テスト</t>
        </is>
      </c>
      <c r="D16" s="71" t="n">
        <v>46282</v>
      </c>
      <c r="E16" s="71" t="n">
        <v>46299</v>
      </c>
      <c r="F16" s="72">
        <f>E16-D16+1</f>
        <v/>
      </c>
      <c r="G16" s="73" t="n">
        <v>0</v>
      </c>
      <c r="H16" s="75" t="n"/>
      <c r="I16" s="75" t="n"/>
      <c r="J16" s="75" t="n"/>
      <c r="K16" s="76" t="n"/>
      <c r="L16" s="76" t="n"/>
      <c r="M16" s="75" t="n"/>
      <c r="N16" s="75" t="n"/>
      <c r="O16" s="75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5" t="n"/>
      <c r="AB16" s="84" t="n"/>
      <c r="AC16" s="84" t="n"/>
      <c r="AD16" s="84" t="n"/>
      <c r="AE16" s="84" t="n"/>
      <c r="AF16" s="84" t="n"/>
      <c r="AG16" s="84" t="n"/>
      <c r="AH16" s="75" t="n"/>
      <c r="AI16" s="75" t="n"/>
      <c r="AJ16" s="75" t="n"/>
      <c r="AK16" s="75" t="n"/>
      <c r="AL16" s="75" t="n"/>
      <c r="AM16" s="76" t="n"/>
      <c r="AN16" s="76" t="n"/>
      <c r="AO16" s="75" t="n"/>
      <c r="AP16" s="75" t="n"/>
      <c r="AQ16" s="75" t="n"/>
      <c r="AR16" s="75" t="n"/>
      <c r="AS16" s="75" t="n"/>
      <c r="AT16" s="76" t="n"/>
      <c r="AU16" s="76" t="n"/>
      <c r="AV16" s="75" t="n"/>
      <c r="AW16" s="75" t="n"/>
      <c r="AX16" s="75" t="n"/>
      <c r="AY16" s="75" t="n"/>
      <c r="AZ16" s="75" t="n"/>
      <c r="BA16" s="76" t="n"/>
      <c r="BB16" s="76" t="n"/>
      <c r="BC16" s="75" t="n"/>
      <c r="BD16" s="75" t="n"/>
      <c r="BE16" s="75" t="n"/>
      <c r="BF16" s="75" t="n"/>
      <c r="BG16" s="75" t="n"/>
      <c r="BH16" s="78" t="n"/>
    </row>
    <row r="17" ht="20" customHeight="1">
      <c r="A17" s="68" t="n">
        <v>8</v>
      </c>
      <c r="B17" s="69" t="inlineStr">
        <is>
          <t>追加ワーカー募集</t>
        </is>
      </c>
      <c r="C17" s="86" t="inlineStr">
        <is>
          <t>採用</t>
        </is>
      </c>
      <c r="D17" s="71" t="n">
        <v>46274</v>
      </c>
      <c r="E17" s="71" t="n">
        <v>46292</v>
      </c>
      <c r="F17" s="72">
        <f>E17-D17+1</f>
        <v/>
      </c>
      <c r="G17" s="73" t="n">
        <v>0</v>
      </c>
      <c r="H17" s="87" t="n"/>
      <c r="I17" s="87" t="n"/>
      <c r="J17" s="87" t="n"/>
      <c r="K17" s="87" t="n"/>
      <c r="L17" s="87" t="n"/>
      <c r="M17" s="87" t="n"/>
      <c r="N17" s="87" t="n"/>
      <c r="O17" s="87" t="n"/>
      <c r="P17" s="87" t="n"/>
      <c r="Q17" s="87" t="n"/>
      <c r="R17" s="87" t="n"/>
      <c r="S17" s="87" t="n"/>
      <c r="T17" s="87" t="n"/>
      <c r="U17" s="87" t="n"/>
      <c r="V17" s="87" t="n"/>
      <c r="W17" s="87" t="n"/>
      <c r="X17" s="87" t="n"/>
      <c r="Y17" s="87" t="n"/>
      <c r="Z17" s="87" t="n"/>
      <c r="AA17" s="77" t="n"/>
      <c r="AB17" s="75" t="n"/>
      <c r="AC17" s="75" t="n"/>
      <c r="AD17" s="75" t="n"/>
      <c r="AE17" s="75" t="n"/>
      <c r="AF17" s="76" t="n"/>
      <c r="AG17" s="76" t="n"/>
      <c r="AH17" s="75" t="n"/>
      <c r="AI17" s="75" t="n"/>
      <c r="AJ17" s="75" t="n"/>
      <c r="AK17" s="75" t="n"/>
      <c r="AL17" s="75" t="n"/>
      <c r="AM17" s="76" t="n"/>
      <c r="AN17" s="76" t="n"/>
      <c r="AO17" s="75" t="n"/>
      <c r="AP17" s="75" t="n"/>
      <c r="AQ17" s="75" t="n"/>
      <c r="AR17" s="75" t="n"/>
      <c r="AS17" s="75" t="n"/>
      <c r="AT17" s="76" t="n"/>
      <c r="AU17" s="76" t="n"/>
      <c r="AV17" s="75" t="n"/>
      <c r="AW17" s="75" t="n"/>
      <c r="AX17" s="75" t="n"/>
      <c r="AY17" s="75" t="n"/>
      <c r="AZ17" s="75" t="n"/>
      <c r="BA17" s="76" t="n"/>
      <c r="BB17" s="76" t="n"/>
      <c r="BC17" s="75" t="n"/>
      <c r="BD17" s="75" t="n"/>
      <c r="BE17" s="75" t="n"/>
      <c r="BF17" s="75" t="n"/>
      <c r="BG17" s="75" t="n"/>
      <c r="BH17" s="78" t="n"/>
    </row>
    <row r="18" ht="20" customHeight="1">
      <c r="A18" s="68" t="n">
        <v>9</v>
      </c>
      <c r="B18" s="69" t="inlineStr">
        <is>
          <t>追加ワーカー面接</t>
        </is>
      </c>
      <c r="C18" s="86" t="inlineStr">
        <is>
          <t>採用</t>
        </is>
      </c>
      <c r="D18" s="71" t="n">
        <v>46279</v>
      </c>
      <c r="E18" s="71" t="n">
        <v>46299</v>
      </c>
      <c r="F18" s="72">
        <f>E18-D18+1</f>
        <v/>
      </c>
      <c r="G18" s="73" t="n">
        <v>0</v>
      </c>
      <c r="H18" s="75" t="n"/>
      <c r="I18" s="75" t="n"/>
      <c r="J18" s="75" t="n"/>
      <c r="K18" s="76" t="n"/>
      <c r="L18" s="76" t="n"/>
      <c r="M18" s="87" t="n"/>
      <c r="N18" s="87" t="n"/>
      <c r="O18" s="87" t="n"/>
      <c r="P18" s="87" t="n"/>
      <c r="Q18" s="87" t="n"/>
      <c r="R18" s="87" t="n"/>
      <c r="S18" s="87" t="n"/>
      <c r="T18" s="87" t="n"/>
      <c r="U18" s="87" t="n"/>
      <c r="V18" s="87" t="n"/>
      <c r="W18" s="87" t="n"/>
      <c r="X18" s="87" t="n"/>
      <c r="Y18" s="87" t="n"/>
      <c r="Z18" s="87" t="n"/>
      <c r="AA18" s="88" t="n"/>
      <c r="AB18" s="87" t="n"/>
      <c r="AC18" s="87" t="n"/>
      <c r="AD18" s="87" t="n"/>
      <c r="AE18" s="87" t="n"/>
      <c r="AF18" s="87" t="n"/>
      <c r="AG18" s="87" t="n"/>
      <c r="AH18" s="75" t="n"/>
      <c r="AI18" s="75" t="n"/>
      <c r="AJ18" s="75" t="n"/>
      <c r="AK18" s="75" t="n"/>
      <c r="AL18" s="75" t="n"/>
      <c r="AM18" s="76" t="n"/>
      <c r="AN18" s="76" t="n"/>
      <c r="AO18" s="75" t="n"/>
      <c r="AP18" s="75" t="n"/>
      <c r="AQ18" s="75" t="n"/>
      <c r="AR18" s="75" t="n"/>
      <c r="AS18" s="75" t="n"/>
      <c r="AT18" s="76" t="n"/>
      <c r="AU18" s="76" t="n"/>
      <c r="AV18" s="75" t="n"/>
      <c r="AW18" s="75" t="n"/>
      <c r="AX18" s="75" t="n"/>
      <c r="AY18" s="75" t="n"/>
      <c r="AZ18" s="75" t="n"/>
      <c r="BA18" s="76" t="n"/>
      <c r="BB18" s="76" t="n"/>
      <c r="BC18" s="75" t="n"/>
      <c r="BD18" s="75" t="n"/>
      <c r="BE18" s="75" t="n"/>
      <c r="BF18" s="75" t="n"/>
      <c r="BG18" s="75" t="n"/>
      <c r="BH18" s="78" t="n"/>
    </row>
    <row r="19" ht="20" customHeight="1">
      <c r="A19" s="68" t="n">
        <v>10</v>
      </c>
      <c r="B19" s="69" t="inlineStr">
        <is>
          <t>追加ワーカー教育</t>
        </is>
      </c>
      <c r="C19" s="86" t="inlineStr">
        <is>
          <t>採用</t>
        </is>
      </c>
      <c r="D19" s="71" t="n">
        <v>46293</v>
      </c>
      <c r="E19" s="71" t="n">
        <v>46320</v>
      </c>
      <c r="F19" s="72">
        <f>E19-D19+1</f>
        <v/>
      </c>
      <c r="G19" s="73" t="n">
        <v>0</v>
      </c>
      <c r="H19" s="75" t="n"/>
      <c r="I19" s="75" t="n"/>
      <c r="J19" s="75" t="n"/>
      <c r="K19" s="76" t="n"/>
      <c r="L19" s="76" t="n"/>
      <c r="M19" s="75" t="n"/>
      <c r="N19" s="75" t="n"/>
      <c r="O19" s="75" t="n"/>
      <c r="P19" s="75" t="n"/>
      <c r="Q19" s="75" t="n"/>
      <c r="R19" s="76" t="n"/>
      <c r="S19" s="76" t="n"/>
      <c r="T19" s="75" t="n"/>
      <c r="U19" s="75" t="n"/>
      <c r="V19" s="75" t="n"/>
      <c r="W19" s="75" t="n"/>
      <c r="X19" s="75" t="n"/>
      <c r="Y19" s="76" t="n"/>
      <c r="Z19" s="76" t="n"/>
      <c r="AA19" s="88" t="n"/>
      <c r="AB19" s="87" t="n"/>
      <c r="AC19" s="87" t="n"/>
      <c r="AD19" s="87" t="n"/>
      <c r="AE19" s="87" t="n"/>
      <c r="AF19" s="87" t="n"/>
      <c r="AG19" s="87" t="n"/>
      <c r="AH19" s="87" t="n"/>
      <c r="AI19" s="87" t="n"/>
      <c r="AJ19" s="87" t="n"/>
      <c r="AK19" s="87" t="n"/>
      <c r="AL19" s="87" t="n"/>
      <c r="AM19" s="87" t="n"/>
      <c r="AN19" s="87" t="n"/>
      <c r="AO19" s="87" t="n"/>
      <c r="AP19" s="87" t="n"/>
      <c r="AQ19" s="87" t="n"/>
      <c r="AR19" s="87" t="n"/>
      <c r="AS19" s="87" t="n"/>
      <c r="AT19" s="87" t="n"/>
      <c r="AU19" s="87" t="n"/>
      <c r="AV19" s="87" t="n"/>
      <c r="AW19" s="87" t="n"/>
      <c r="AX19" s="87" t="n"/>
      <c r="AY19" s="87" t="n"/>
      <c r="AZ19" s="87" t="n"/>
      <c r="BA19" s="87" t="n"/>
      <c r="BB19" s="87" t="n"/>
      <c r="BC19" s="75" t="n"/>
      <c r="BD19" s="75" t="n"/>
      <c r="BE19" s="75" t="n"/>
      <c r="BF19" s="75" t="n"/>
      <c r="BG19" s="75" t="n"/>
      <c r="BH19" s="78" t="n"/>
    </row>
    <row r="20" ht="20" customHeight="1">
      <c r="A20" s="68" t="n">
        <v>11</v>
      </c>
      <c r="B20" s="69" t="inlineStr">
        <is>
          <t>先行企業実運用</t>
        </is>
      </c>
      <c r="C20" s="89" t="inlineStr">
        <is>
          <t>実運用</t>
        </is>
      </c>
      <c r="D20" s="71" t="n">
        <v>46293</v>
      </c>
      <c r="E20" s="71" t="n">
        <v>46326</v>
      </c>
      <c r="F20" s="72">
        <f>E20-D20+1</f>
        <v/>
      </c>
      <c r="G20" s="73" t="n">
        <v>0</v>
      </c>
      <c r="H20" s="75" t="n"/>
      <c r="I20" s="75" t="n"/>
      <c r="J20" s="75" t="n"/>
      <c r="K20" s="76" t="n"/>
      <c r="L20" s="76" t="n"/>
      <c r="M20" s="75" t="n"/>
      <c r="N20" s="75" t="n"/>
      <c r="O20" s="75" t="n"/>
      <c r="P20" s="75" t="n"/>
      <c r="Q20" s="75" t="n"/>
      <c r="R20" s="76" t="n"/>
      <c r="S20" s="76" t="n"/>
      <c r="T20" s="75" t="n"/>
      <c r="U20" s="75" t="n"/>
      <c r="V20" s="75" t="n"/>
      <c r="W20" s="75" t="n"/>
      <c r="X20" s="75" t="n"/>
      <c r="Y20" s="76" t="n"/>
      <c r="Z20" s="76" t="n"/>
      <c r="AA20" s="90" t="n"/>
      <c r="AB20" s="91" t="n"/>
      <c r="AC20" s="91" t="n"/>
      <c r="AD20" s="91" t="n"/>
      <c r="AE20" s="91" t="n"/>
      <c r="AF20" s="91" t="n"/>
      <c r="AG20" s="91" t="n"/>
      <c r="AH20" s="91" t="n"/>
      <c r="AI20" s="91" t="n"/>
      <c r="AJ20" s="91" t="n"/>
      <c r="AK20" s="91" t="n"/>
      <c r="AL20" s="91" t="n"/>
      <c r="AM20" s="91" t="n"/>
      <c r="AN20" s="91" t="n"/>
      <c r="AO20" s="91" t="n"/>
      <c r="AP20" s="91" t="n"/>
      <c r="AQ20" s="91" t="n"/>
      <c r="AR20" s="91" t="n"/>
      <c r="AS20" s="91" t="n"/>
      <c r="AT20" s="91" t="n"/>
      <c r="AU20" s="91" t="n"/>
      <c r="AV20" s="91" t="n"/>
      <c r="AW20" s="91" t="n"/>
      <c r="AX20" s="91" t="n"/>
      <c r="AY20" s="91" t="n"/>
      <c r="AZ20" s="91" t="n"/>
      <c r="BA20" s="91" t="n"/>
      <c r="BB20" s="91" t="n"/>
      <c r="BC20" s="91" t="n"/>
      <c r="BD20" s="91" t="n"/>
      <c r="BE20" s="91" t="n"/>
      <c r="BF20" s="91" t="n"/>
      <c r="BG20" s="91" t="n"/>
      <c r="BH20" s="92" t="n"/>
    </row>
    <row r="21" ht="20" customHeight="1">
      <c r="A21" s="68" t="n">
        <v>12</v>
      </c>
      <c r="B21" s="69" t="inlineStr">
        <is>
          <t>第2グループ移管</t>
        </is>
      </c>
      <c r="C21" s="81" t="inlineStr">
        <is>
          <t>引継ぎ</t>
        </is>
      </c>
      <c r="D21" s="71" t="n">
        <v>46300</v>
      </c>
      <c r="E21" s="71" t="n">
        <v>46313</v>
      </c>
      <c r="F21" s="72">
        <f>E21-D21+1</f>
        <v/>
      </c>
      <c r="G21" s="73" t="n">
        <v>0</v>
      </c>
      <c r="H21" s="75" t="n"/>
      <c r="I21" s="75" t="n"/>
      <c r="J21" s="75" t="n"/>
      <c r="K21" s="76" t="n"/>
      <c r="L21" s="76" t="n"/>
      <c r="M21" s="75" t="n"/>
      <c r="N21" s="75" t="n"/>
      <c r="O21" s="75" t="n"/>
      <c r="P21" s="75" t="n"/>
      <c r="Q21" s="75" t="n"/>
      <c r="R21" s="76" t="n"/>
      <c r="S21" s="76" t="n"/>
      <c r="T21" s="75" t="n"/>
      <c r="U21" s="75" t="n"/>
      <c r="V21" s="75" t="n"/>
      <c r="W21" s="75" t="n"/>
      <c r="X21" s="75" t="n"/>
      <c r="Y21" s="76" t="n"/>
      <c r="Z21" s="76" t="n"/>
      <c r="AA21" s="77" t="n"/>
      <c r="AB21" s="75" t="n"/>
      <c r="AC21" s="75" t="n"/>
      <c r="AD21" s="75" t="n"/>
      <c r="AE21" s="75" t="n"/>
      <c r="AF21" s="76" t="n"/>
      <c r="AG21" s="76" t="n"/>
      <c r="AH21" s="82" t="n"/>
      <c r="AI21" s="82" t="n"/>
      <c r="AJ21" s="82" t="n"/>
      <c r="AK21" s="82" t="n"/>
      <c r="AL21" s="82" t="n"/>
      <c r="AM21" s="82" t="n"/>
      <c r="AN21" s="82" t="n"/>
      <c r="AO21" s="82" t="n"/>
      <c r="AP21" s="82" t="n"/>
      <c r="AQ21" s="82" t="n"/>
      <c r="AR21" s="82" t="n"/>
      <c r="AS21" s="82" t="n"/>
      <c r="AT21" s="82" t="n"/>
      <c r="AU21" s="82" t="n"/>
      <c r="AV21" s="75" t="n"/>
      <c r="AW21" s="75" t="n"/>
      <c r="AX21" s="75" t="n"/>
      <c r="AY21" s="75" t="n"/>
      <c r="AZ21" s="75" t="n"/>
      <c r="BA21" s="76" t="n"/>
      <c r="BB21" s="76" t="n"/>
      <c r="BC21" s="75" t="n"/>
      <c r="BD21" s="75" t="n"/>
      <c r="BE21" s="75" t="n"/>
      <c r="BF21" s="75" t="n"/>
      <c r="BG21" s="75" t="n"/>
      <c r="BH21" s="78" t="n"/>
    </row>
    <row r="22" ht="20" customHeight="1">
      <c r="A22" s="68" t="n">
        <v>13</v>
      </c>
      <c r="B22" s="69" t="inlineStr">
        <is>
          <t>対象企業拡大</t>
        </is>
      </c>
      <c r="C22" s="81" t="inlineStr">
        <is>
          <t>引継ぎ</t>
        </is>
      </c>
      <c r="D22" s="71" t="n">
        <v>46307</v>
      </c>
      <c r="E22" s="71" t="n">
        <v>46326</v>
      </c>
      <c r="F22" s="72">
        <f>E22-D22+1</f>
        <v/>
      </c>
      <c r="G22" s="73" t="n">
        <v>0</v>
      </c>
      <c r="H22" s="75" t="n"/>
      <c r="I22" s="75" t="n"/>
      <c r="J22" s="75" t="n"/>
      <c r="K22" s="76" t="n"/>
      <c r="L22" s="76" t="n"/>
      <c r="M22" s="75" t="n"/>
      <c r="N22" s="75" t="n"/>
      <c r="O22" s="75" t="n"/>
      <c r="P22" s="75" t="n"/>
      <c r="Q22" s="75" t="n"/>
      <c r="R22" s="76" t="n"/>
      <c r="S22" s="76" t="n"/>
      <c r="T22" s="75" t="n"/>
      <c r="U22" s="75" t="n"/>
      <c r="V22" s="75" t="n"/>
      <c r="W22" s="75" t="n"/>
      <c r="X22" s="75" t="n"/>
      <c r="Y22" s="76" t="n"/>
      <c r="Z22" s="76" t="n"/>
      <c r="AA22" s="77" t="n"/>
      <c r="AB22" s="75" t="n"/>
      <c r="AC22" s="75" t="n"/>
      <c r="AD22" s="75" t="n"/>
      <c r="AE22" s="75" t="n"/>
      <c r="AF22" s="76" t="n"/>
      <c r="AG22" s="76" t="n"/>
      <c r="AH22" s="75" t="n"/>
      <c r="AI22" s="75" t="n"/>
      <c r="AJ22" s="75" t="n"/>
      <c r="AK22" s="75" t="n"/>
      <c r="AL22" s="75" t="n"/>
      <c r="AM22" s="76" t="n"/>
      <c r="AN22" s="76" t="n"/>
      <c r="AO22" s="82" t="n"/>
      <c r="AP22" s="82" t="n"/>
      <c r="AQ22" s="82" t="n"/>
      <c r="AR22" s="82" t="n"/>
      <c r="AS22" s="82" t="n"/>
      <c r="AT22" s="82" t="n"/>
      <c r="AU22" s="82" t="n"/>
      <c r="AV22" s="82" t="n"/>
      <c r="AW22" s="82" t="n"/>
      <c r="AX22" s="82" t="n"/>
      <c r="AY22" s="82" t="n"/>
      <c r="AZ22" s="82" t="n"/>
      <c r="BA22" s="82" t="n"/>
      <c r="BB22" s="82" t="n"/>
      <c r="BC22" s="82" t="n"/>
      <c r="BD22" s="82" t="n"/>
      <c r="BE22" s="82" t="n"/>
      <c r="BF22" s="82" t="n"/>
      <c r="BG22" s="82" t="n"/>
      <c r="BH22" s="93" t="n"/>
    </row>
    <row r="23" ht="20" customHeight="1">
      <c r="A23" s="68" t="n">
        <v>14</v>
      </c>
      <c r="B23" s="69" t="inlineStr">
        <is>
          <t>品質検証</t>
        </is>
      </c>
      <c r="C23" s="94" t="inlineStr">
        <is>
          <t>検証</t>
        </is>
      </c>
      <c r="D23" s="71" t="n">
        <v>46293</v>
      </c>
      <c r="E23" s="71" t="n">
        <v>46326</v>
      </c>
      <c r="F23" s="72">
        <f>E23-D23+1</f>
        <v/>
      </c>
      <c r="G23" s="73" t="n">
        <v>0</v>
      </c>
      <c r="H23" s="75" t="n"/>
      <c r="I23" s="75" t="n"/>
      <c r="J23" s="75" t="n"/>
      <c r="K23" s="76" t="n"/>
      <c r="L23" s="76" t="n"/>
      <c r="M23" s="75" t="n"/>
      <c r="N23" s="75" t="n"/>
      <c r="O23" s="75" t="n"/>
      <c r="P23" s="75" t="n"/>
      <c r="Q23" s="75" t="n"/>
      <c r="R23" s="76" t="n"/>
      <c r="S23" s="76" t="n"/>
      <c r="T23" s="75" t="n"/>
      <c r="U23" s="75" t="n"/>
      <c r="V23" s="75" t="n"/>
      <c r="W23" s="75" t="n"/>
      <c r="X23" s="75" t="n"/>
      <c r="Y23" s="76" t="n"/>
      <c r="Z23" s="76" t="n"/>
      <c r="AA23" s="95" t="n"/>
      <c r="AB23" s="96" t="n"/>
      <c r="AC23" s="96" t="n"/>
      <c r="AD23" s="96" t="n"/>
      <c r="AE23" s="96" t="n"/>
      <c r="AF23" s="96" t="n"/>
      <c r="AG23" s="96" t="n"/>
      <c r="AH23" s="96" t="n"/>
      <c r="AI23" s="96" t="n"/>
      <c r="AJ23" s="96" t="n"/>
      <c r="AK23" s="96" t="n"/>
      <c r="AL23" s="96" t="n"/>
      <c r="AM23" s="96" t="n"/>
      <c r="AN23" s="96" t="n"/>
      <c r="AO23" s="96" t="n"/>
      <c r="AP23" s="96" t="n"/>
      <c r="AQ23" s="96" t="n"/>
      <c r="AR23" s="96" t="n"/>
      <c r="AS23" s="96" t="n"/>
      <c r="AT23" s="96" t="n"/>
      <c r="AU23" s="96" t="n"/>
      <c r="AV23" s="96" t="n"/>
      <c r="AW23" s="96" t="n"/>
      <c r="AX23" s="96" t="n"/>
      <c r="AY23" s="96" t="n"/>
      <c r="AZ23" s="96" t="n"/>
      <c r="BA23" s="96" t="n"/>
      <c r="BB23" s="96" t="n"/>
      <c r="BC23" s="96" t="n"/>
      <c r="BD23" s="96" t="n"/>
      <c r="BE23" s="96" t="n"/>
      <c r="BF23" s="96" t="n"/>
      <c r="BG23" s="96" t="n"/>
      <c r="BH23" s="97" t="n"/>
    </row>
    <row r="24" ht="20" customHeight="1">
      <c r="A24" s="68" t="n">
        <v>15</v>
      </c>
      <c r="B24" s="69" t="inlineStr">
        <is>
          <t>顧客対応移管</t>
        </is>
      </c>
      <c r="C24" s="89" t="inlineStr">
        <is>
          <t>実運用</t>
        </is>
      </c>
      <c r="D24" s="71" t="n">
        <v>46293</v>
      </c>
      <c r="E24" s="71" t="n">
        <v>46326</v>
      </c>
      <c r="F24" s="72">
        <f>E24-D24+1</f>
        <v/>
      </c>
      <c r="G24" s="73" t="n">
        <v>0</v>
      </c>
      <c r="H24" s="75" t="n"/>
      <c r="I24" s="75" t="n"/>
      <c r="J24" s="75" t="n"/>
      <c r="K24" s="76" t="n"/>
      <c r="L24" s="76" t="n"/>
      <c r="M24" s="75" t="n"/>
      <c r="N24" s="75" t="n"/>
      <c r="O24" s="75" t="n"/>
      <c r="P24" s="75" t="n"/>
      <c r="Q24" s="75" t="n"/>
      <c r="R24" s="76" t="n"/>
      <c r="S24" s="76" t="n"/>
      <c r="T24" s="75" t="n"/>
      <c r="U24" s="75" t="n"/>
      <c r="V24" s="75" t="n"/>
      <c r="W24" s="75" t="n"/>
      <c r="X24" s="75" t="n"/>
      <c r="Y24" s="76" t="n"/>
      <c r="Z24" s="76" t="n"/>
      <c r="AA24" s="90" t="n"/>
      <c r="AB24" s="91" t="n"/>
      <c r="AC24" s="91" t="n"/>
      <c r="AD24" s="91" t="n"/>
      <c r="AE24" s="91" t="n"/>
      <c r="AF24" s="91" t="n"/>
      <c r="AG24" s="91" t="n"/>
      <c r="AH24" s="91" t="n"/>
      <c r="AI24" s="91" t="n"/>
      <c r="AJ24" s="91" t="n"/>
      <c r="AK24" s="91" t="n"/>
      <c r="AL24" s="91" t="n"/>
      <c r="AM24" s="91" t="n"/>
      <c r="AN24" s="91" t="n"/>
      <c r="AO24" s="91" t="n"/>
      <c r="AP24" s="91" t="n"/>
      <c r="AQ24" s="91" t="n"/>
      <c r="AR24" s="91" t="n"/>
      <c r="AS24" s="91" t="n"/>
      <c r="AT24" s="91" t="n"/>
      <c r="AU24" s="91" t="n"/>
      <c r="AV24" s="91" t="n"/>
      <c r="AW24" s="91" t="n"/>
      <c r="AX24" s="91" t="n"/>
      <c r="AY24" s="91" t="n"/>
      <c r="AZ24" s="91" t="n"/>
      <c r="BA24" s="91" t="n"/>
      <c r="BB24" s="91" t="n"/>
      <c r="BC24" s="91" t="n"/>
      <c r="BD24" s="91" t="n"/>
      <c r="BE24" s="91" t="n"/>
      <c r="BF24" s="91" t="n"/>
      <c r="BG24" s="91" t="n"/>
      <c r="BH24" s="92" t="n"/>
    </row>
    <row r="25" ht="20" customHeight="1">
      <c r="A25" s="68" t="n">
        <v>16</v>
      </c>
      <c r="B25" s="69" t="inlineStr">
        <is>
          <t>進捗管理移管</t>
        </is>
      </c>
      <c r="C25" s="89" t="inlineStr">
        <is>
          <t>実運用</t>
        </is>
      </c>
      <c r="D25" s="71" t="n">
        <v>46300</v>
      </c>
      <c r="E25" s="71" t="n">
        <v>46326</v>
      </c>
      <c r="F25" s="72">
        <f>E25-D25+1</f>
        <v/>
      </c>
      <c r="G25" s="73" t="n">
        <v>0</v>
      </c>
      <c r="H25" s="75" t="n"/>
      <c r="I25" s="75" t="n"/>
      <c r="J25" s="75" t="n"/>
      <c r="K25" s="76" t="n"/>
      <c r="L25" s="76" t="n"/>
      <c r="M25" s="75" t="n"/>
      <c r="N25" s="75" t="n"/>
      <c r="O25" s="75" t="n"/>
      <c r="P25" s="75" t="n"/>
      <c r="Q25" s="75" t="n"/>
      <c r="R25" s="76" t="n"/>
      <c r="S25" s="76" t="n"/>
      <c r="T25" s="75" t="n"/>
      <c r="U25" s="75" t="n"/>
      <c r="V25" s="75" t="n"/>
      <c r="W25" s="75" t="n"/>
      <c r="X25" s="75" t="n"/>
      <c r="Y25" s="76" t="n"/>
      <c r="Z25" s="76" t="n"/>
      <c r="AA25" s="77" t="n"/>
      <c r="AB25" s="75" t="n"/>
      <c r="AC25" s="75" t="n"/>
      <c r="AD25" s="75" t="n"/>
      <c r="AE25" s="75" t="n"/>
      <c r="AF25" s="76" t="n"/>
      <c r="AG25" s="76" t="n"/>
      <c r="AH25" s="91" t="n"/>
      <c r="AI25" s="91" t="n"/>
      <c r="AJ25" s="91" t="n"/>
      <c r="AK25" s="91" t="n"/>
      <c r="AL25" s="91" t="n"/>
      <c r="AM25" s="91" t="n"/>
      <c r="AN25" s="91" t="n"/>
      <c r="AO25" s="91" t="n"/>
      <c r="AP25" s="91" t="n"/>
      <c r="AQ25" s="91" t="n"/>
      <c r="AR25" s="91" t="n"/>
      <c r="AS25" s="91" t="n"/>
      <c r="AT25" s="91" t="n"/>
      <c r="AU25" s="91" t="n"/>
      <c r="AV25" s="91" t="n"/>
      <c r="AW25" s="91" t="n"/>
      <c r="AX25" s="91" t="n"/>
      <c r="AY25" s="91" t="n"/>
      <c r="AZ25" s="91" t="n"/>
      <c r="BA25" s="91" t="n"/>
      <c r="BB25" s="91" t="n"/>
      <c r="BC25" s="91" t="n"/>
      <c r="BD25" s="91" t="n"/>
      <c r="BE25" s="91" t="n"/>
      <c r="BF25" s="91" t="n"/>
      <c r="BG25" s="91" t="n"/>
      <c r="BH25" s="92" t="n"/>
    </row>
    <row r="26" ht="20" customHeight="1">
      <c r="A26" s="68" t="n">
        <v>17</v>
      </c>
      <c r="B26" s="69" t="inlineStr">
        <is>
          <t>バックアップ設定</t>
        </is>
      </c>
      <c r="C26" s="94" t="inlineStr">
        <is>
          <t>検証</t>
        </is>
      </c>
      <c r="D26" s="71" t="n">
        <v>46314</v>
      </c>
      <c r="E26" s="71" t="n">
        <v>46326</v>
      </c>
      <c r="F26" s="72">
        <f>E26-D26+1</f>
        <v/>
      </c>
      <c r="G26" s="73" t="n">
        <v>0</v>
      </c>
      <c r="H26" s="75" t="n"/>
      <c r="I26" s="75" t="n"/>
      <c r="J26" s="75" t="n"/>
      <c r="K26" s="76" t="n"/>
      <c r="L26" s="76" t="n"/>
      <c r="M26" s="75" t="n"/>
      <c r="N26" s="75" t="n"/>
      <c r="O26" s="75" t="n"/>
      <c r="P26" s="75" t="n"/>
      <c r="Q26" s="75" t="n"/>
      <c r="R26" s="76" t="n"/>
      <c r="S26" s="76" t="n"/>
      <c r="T26" s="75" t="n"/>
      <c r="U26" s="75" t="n"/>
      <c r="V26" s="75" t="n"/>
      <c r="W26" s="75" t="n"/>
      <c r="X26" s="75" t="n"/>
      <c r="Y26" s="76" t="n"/>
      <c r="Z26" s="76" t="n"/>
      <c r="AA26" s="77" t="n"/>
      <c r="AB26" s="75" t="n"/>
      <c r="AC26" s="75" t="n"/>
      <c r="AD26" s="75" t="n"/>
      <c r="AE26" s="75" t="n"/>
      <c r="AF26" s="76" t="n"/>
      <c r="AG26" s="76" t="n"/>
      <c r="AH26" s="75" t="n"/>
      <c r="AI26" s="75" t="n"/>
      <c r="AJ26" s="75" t="n"/>
      <c r="AK26" s="75" t="n"/>
      <c r="AL26" s="75" t="n"/>
      <c r="AM26" s="76" t="n"/>
      <c r="AN26" s="76" t="n"/>
      <c r="AO26" s="75" t="n"/>
      <c r="AP26" s="75" t="n"/>
      <c r="AQ26" s="75" t="n"/>
      <c r="AR26" s="75" t="n"/>
      <c r="AS26" s="75" t="n"/>
      <c r="AT26" s="76" t="n"/>
      <c r="AU26" s="76" t="n"/>
      <c r="AV26" s="96" t="n"/>
      <c r="AW26" s="96" t="n"/>
      <c r="AX26" s="96" t="n"/>
      <c r="AY26" s="96" t="n"/>
      <c r="AZ26" s="96" t="n"/>
      <c r="BA26" s="96" t="n"/>
      <c r="BB26" s="96" t="n"/>
      <c r="BC26" s="96" t="n"/>
      <c r="BD26" s="96" t="n"/>
      <c r="BE26" s="96" t="n"/>
      <c r="BF26" s="96" t="n"/>
      <c r="BG26" s="96" t="n"/>
      <c r="BH26" s="97" t="n"/>
    </row>
    <row r="27" ht="20" customHeight="1">
      <c r="A27" s="68" t="n">
        <v>18</v>
      </c>
      <c r="B27" s="69" t="inlineStr">
        <is>
          <t>処理能力再計算</t>
        </is>
      </c>
      <c r="C27" s="94" t="inlineStr">
        <is>
          <t>検証</t>
        </is>
      </c>
      <c r="D27" s="71" t="n">
        <v>46286</v>
      </c>
      <c r="E27" s="71" t="n">
        <v>46326</v>
      </c>
      <c r="F27" s="72">
        <f>E27-D27+1</f>
        <v/>
      </c>
      <c r="G27" s="73" t="n">
        <v>0</v>
      </c>
      <c r="H27" s="75" t="n"/>
      <c r="I27" s="75" t="n"/>
      <c r="J27" s="75" t="n"/>
      <c r="K27" s="76" t="n"/>
      <c r="L27" s="76" t="n"/>
      <c r="M27" s="75" t="n"/>
      <c r="N27" s="75" t="n"/>
      <c r="O27" s="75" t="n"/>
      <c r="P27" s="75" t="n"/>
      <c r="Q27" s="75" t="n"/>
      <c r="R27" s="76" t="n"/>
      <c r="S27" s="76" t="n"/>
      <c r="T27" s="96" t="n"/>
      <c r="U27" s="96" t="n"/>
      <c r="V27" s="96" t="n"/>
      <c r="W27" s="96" t="n"/>
      <c r="X27" s="96" t="n"/>
      <c r="Y27" s="96" t="n"/>
      <c r="Z27" s="96" t="n"/>
      <c r="AA27" s="95" t="n"/>
      <c r="AB27" s="96" t="n"/>
      <c r="AC27" s="96" t="n"/>
      <c r="AD27" s="96" t="n"/>
      <c r="AE27" s="96" t="n"/>
      <c r="AF27" s="96" t="n"/>
      <c r="AG27" s="96" t="n"/>
      <c r="AH27" s="96" t="n"/>
      <c r="AI27" s="96" t="n"/>
      <c r="AJ27" s="96" t="n"/>
      <c r="AK27" s="96" t="n"/>
      <c r="AL27" s="96" t="n"/>
      <c r="AM27" s="96" t="n"/>
      <c r="AN27" s="96" t="n"/>
      <c r="AO27" s="96" t="n"/>
      <c r="AP27" s="96" t="n"/>
      <c r="AQ27" s="96" t="n"/>
      <c r="AR27" s="96" t="n"/>
      <c r="AS27" s="96" t="n"/>
      <c r="AT27" s="96" t="n"/>
      <c r="AU27" s="96" t="n"/>
      <c r="AV27" s="96" t="n"/>
      <c r="AW27" s="96" t="n"/>
      <c r="AX27" s="96" t="n"/>
      <c r="AY27" s="96" t="n"/>
      <c r="AZ27" s="96" t="n"/>
      <c r="BA27" s="96" t="n"/>
      <c r="BB27" s="96" t="n"/>
      <c r="BC27" s="96" t="n"/>
      <c r="BD27" s="96" t="n"/>
      <c r="BE27" s="96" t="n"/>
      <c r="BF27" s="96" t="n"/>
      <c r="BG27" s="96" t="n"/>
      <c r="BH27" s="97" t="n"/>
    </row>
    <row r="28" ht="20" customHeight="1">
      <c r="A28" s="68" t="n">
        <v>19</v>
      </c>
      <c r="B28" s="69" t="inlineStr">
        <is>
          <t>10月総括</t>
        </is>
      </c>
      <c r="C28" s="94" t="inlineStr">
        <is>
          <t>検証</t>
        </is>
      </c>
      <c r="D28" s="71" t="n">
        <v>46321</v>
      </c>
      <c r="E28" s="71" t="n">
        <v>46326</v>
      </c>
      <c r="F28" s="72">
        <f>E28-D28+1</f>
        <v/>
      </c>
      <c r="G28" s="73" t="n">
        <v>0</v>
      </c>
      <c r="H28" s="75" t="n"/>
      <c r="I28" s="75" t="n"/>
      <c r="J28" s="75" t="n"/>
      <c r="K28" s="76" t="n"/>
      <c r="L28" s="76" t="n"/>
      <c r="M28" s="75" t="n"/>
      <c r="N28" s="75" t="n"/>
      <c r="O28" s="75" t="n"/>
      <c r="P28" s="75" t="n"/>
      <c r="Q28" s="75" t="n"/>
      <c r="R28" s="76" t="n"/>
      <c r="S28" s="76" t="n"/>
      <c r="T28" s="75" t="n"/>
      <c r="U28" s="75" t="n"/>
      <c r="V28" s="75" t="n"/>
      <c r="W28" s="75" t="n"/>
      <c r="X28" s="75" t="n"/>
      <c r="Y28" s="76" t="n"/>
      <c r="Z28" s="76" t="n"/>
      <c r="AA28" s="77" t="n"/>
      <c r="AB28" s="75" t="n"/>
      <c r="AC28" s="75" t="n"/>
      <c r="AD28" s="75" t="n"/>
      <c r="AE28" s="75" t="n"/>
      <c r="AF28" s="76" t="n"/>
      <c r="AG28" s="76" t="n"/>
      <c r="AH28" s="75" t="n"/>
      <c r="AI28" s="75" t="n"/>
      <c r="AJ28" s="75" t="n"/>
      <c r="AK28" s="75" t="n"/>
      <c r="AL28" s="75" t="n"/>
      <c r="AM28" s="76" t="n"/>
      <c r="AN28" s="76" t="n"/>
      <c r="AO28" s="75" t="n"/>
      <c r="AP28" s="75" t="n"/>
      <c r="AQ28" s="75" t="n"/>
      <c r="AR28" s="75" t="n"/>
      <c r="AS28" s="75" t="n"/>
      <c r="AT28" s="76" t="n"/>
      <c r="AU28" s="76" t="n"/>
      <c r="AV28" s="75" t="n"/>
      <c r="AW28" s="75" t="n"/>
      <c r="AX28" s="75" t="n"/>
      <c r="AY28" s="75" t="n"/>
      <c r="AZ28" s="75" t="n"/>
      <c r="BA28" s="76" t="n"/>
      <c r="BB28" s="76" t="n"/>
      <c r="BC28" s="96" t="n"/>
      <c r="BD28" s="96" t="n"/>
      <c r="BE28" s="96" t="n"/>
      <c r="BF28" s="96" t="n"/>
      <c r="BG28" s="96" t="n"/>
      <c r="BH28" s="97" t="n"/>
    </row>
    <row r="29" ht="20" customHeight="1">
      <c r="A29" s="68" t="n">
        <v>20</v>
      </c>
      <c r="B29" s="69" t="inlineStr">
        <is>
          <t>採用遅延・欠員・属人化リスク監視</t>
        </is>
      </c>
      <c r="C29" s="98" t="inlineStr">
        <is>
          <t>リスク</t>
        </is>
      </c>
      <c r="D29" s="71" t="n">
        <v>46274</v>
      </c>
      <c r="E29" s="71" t="n">
        <v>46326</v>
      </c>
      <c r="F29" s="72">
        <f>E29-D29+1</f>
        <v/>
      </c>
      <c r="G29" s="73" t="n">
        <v>0</v>
      </c>
      <c r="H29" s="99" t="n"/>
      <c r="I29" s="99" t="n"/>
      <c r="J29" s="99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  <c r="AA29" s="100" t="n"/>
      <c r="AB29" s="99" t="n"/>
      <c r="AC29" s="99" t="n"/>
      <c r="AD29" s="99" t="n"/>
      <c r="AE29" s="99" t="n"/>
      <c r="AF29" s="99" t="n"/>
      <c r="AG29" s="99" t="n"/>
      <c r="AH29" s="99" t="n"/>
      <c r="AI29" s="99" t="n"/>
      <c r="AJ29" s="99" t="n"/>
      <c r="AK29" s="99" t="n"/>
      <c r="AL29" s="99" t="n"/>
      <c r="AM29" s="99" t="n"/>
      <c r="AN29" s="99" t="n"/>
      <c r="AO29" s="99" t="n"/>
      <c r="AP29" s="99" t="n"/>
      <c r="AQ29" s="99" t="n"/>
      <c r="AR29" s="99" t="n"/>
      <c r="AS29" s="99" t="n"/>
      <c r="AT29" s="99" t="n"/>
      <c r="AU29" s="99" t="n"/>
      <c r="AV29" s="99" t="n"/>
      <c r="AW29" s="99" t="n"/>
      <c r="AX29" s="99" t="n"/>
      <c r="AY29" s="99" t="n"/>
      <c r="AZ29" s="99" t="n"/>
      <c r="BA29" s="99" t="n"/>
      <c r="BB29" s="99" t="n"/>
      <c r="BC29" s="99" t="n"/>
      <c r="BD29" s="99" t="n"/>
      <c r="BE29" s="99" t="n"/>
      <c r="BF29" s="99" t="n"/>
      <c r="BG29" s="99" t="n"/>
      <c r="BH29" s="101" t="n"/>
    </row>
    <row r="30" ht="18" customHeight="1">
      <c r="AA30" s="102" t="inlineStr">
        <is>
          <t>▲ 9/28 先行企業 実運用開始</t>
        </is>
      </c>
      <c r="AB30" s="103" t="n"/>
      <c r="AC30" s="103" t="n"/>
      <c r="AD30" s="103" t="n"/>
      <c r="AE30" s="103" t="n"/>
      <c r="AF30" s="103" t="n"/>
      <c r="AG30" s="103" t="n"/>
      <c r="AH30" s="103" t="n"/>
      <c r="AI30" s="103" t="n"/>
      <c r="AZ30" s="104" t="inlineStr">
        <is>
          <t>▲ 10/31 10月総括・次フェーズ判断</t>
        </is>
      </c>
      <c r="BA30" s="103" t="n"/>
      <c r="BB30" s="103" t="n"/>
      <c r="BC30" s="103" t="n"/>
      <c r="BD30" s="103" t="n"/>
      <c r="BE30" s="103" t="n"/>
      <c r="BF30" s="103" t="n"/>
      <c r="BG30" s="103" t="n"/>
      <c r="BH30" s="103" t="n"/>
    </row>
    <row r="32" ht="24" customHeight="1">
      <c r="A32" s="40" t="inlineStr">
        <is>
          <t>【9月マイルストーン】9/13：全社一覧化・先行候補選定　│　9/20：先行引継ぎ開始・実工数計測開始　│　9/27：難易度A/B/C基準確定・役割分担確定・必要人数再計算　│　9/28：先行企業 実運用開始</t>
        </is>
      </c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</row>
    <row r="33" ht="24" customHeight="1">
      <c r="A33" s="39" t="inlineStr">
        <is>
          <t>【10月マイルストーン】10/11：先行企業安定化・第2グループ引継ぎ　│　10/18：An-field様側の確認工数測定　│　10/25：処理能力再計算・追加採用要否判定　│　10/31：10月総括・次フェーズ判断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</row>
    <row r="34" ht="26" customHeight="1">
      <c r="A34" s="105" t="inlineStr">
        <is>
          <t>【重要】10月末のゴールは「100〜110社の完全移管」ではありません。先行企業で実運用が成立し、企業別工数・難易度・役割分担・1人あたり処理能力・残工数・追加必要人数が数値で把握できている状態がゴールです。</t>
        </is>
      </c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  <c r="AB34" s="43" t="n"/>
      <c r="AC34" s="43" t="n"/>
      <c r="AD34" s="43" t="n"/>
      <c r="AE34" s="43" t="n"/>
      <c r="AF34" s="43" t="n"/>
      <c r="AG34" s="43" t="n"/>
      <c r="AH34" s="43" t="n"/>
      <c r="AI34" s="43" t="n"/>
      <c r="AJ34" s="43" t="n"/>
      <c r="AK34" s="43" t="n"/>
      <c r="AL34" s="43" t="n"/>
      <c r="AM34" s="43" t="n"/>
      <c r="AN34" s="43" t="n"/>
      <c r="AO34" s="43" t="n"/>
      <c r="AP34" s="43" t="n"/>
    </row>
    <row r="35" ht="22" customHeight="1">
      <c r="A35" s="44" t="inlineStr">
        <is>
          <t>【凡例】色付きバー＝暫定計画期間　／　薄い黄色＝手入力（進捗率）　／　グレーの列＝土日　／　金色の縦線＝9/28 実運用開始・10/31 総括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45" t="n"/>
      <c r="AI35" s="45" t="n"/>
      <c r="AJ35" s="45" t="n"/>
      <c r="AK35" s="45" t="n"/>
      <c r="AL35" s="45" t="n"/>
      <c r="AM35" s="45" t="n"/>
      <c r="AN35" s="45" t="n"/>
      <c r="AO35" s="45" t="n"/>
      <c r="AP35" s="45" t="n"/>
    </row>
  </sheetData>
  <mergeCells count="36">
    <mergeCell ref="AZ30:BH30"/>
    <mergeCell ref="BC7:BH7"/>
    <mergeCell ref="T7:Z7"/>
    <mergeCell ref="A1:BH1"/>
    <mergeCell ref="AH7:AN7"/>
    <mergeCell ref="C7:C9"/>
    <mergeCell ref="E7:E9"/>
    <mergeCell ref="O5:S5"/>
    <mergeCell ref="B7:B9"/>
    <mergeCell ref="AA5:AE5"/>
    <mergeCell ref="AV7:BB7"/>
    <mergeCell ref="AM5:AQ5"/>
    <mergeCell ref="A33:AP33"/>
    <mergeCell ref="A3:BH3"/>
    <mergeCell ref="AO7:AU7"/>
    <mergeCell ref="A32:AP32"/>
    <mergeCell ref="A2:BH2"/>
    <mergeCell ref="H7:L7"/>
    <mergeCell ref="F7:F9"/>
    <mergeCell ref="A6:G6"/>
    <mergeCell ref="A35:AP35"/>
    <mergeCell ref="I5:M5"/>
    <mergeCell ref="A4:BH4"/>
    <mergeCell ref="H6:AC6"/>
    <mergeCell ref="A7:A9"/>
    <mergeCell ref="G7:G9"/>
    <mergeCell ref="AA30:AI30"/>
    <mergeCell ref="A34:AP34"/>
    <mergeCell ref="AD6:BH6"/>
    <mergeCell ref="M7:S7"/>
    <mergeCell ref="U5:Y5"/>
    <mergeCell ref="D7:D9"/>
    <mergeCell ref="AG5:AK5"/>
    <mergeCell ref="AA7:AG7"/>
    <mergeCell ref="AS5:AW5"/>
    <mergeCell ref="A5:G5"/>
  </mergeCells>
  <conditionalFormatting sqref="G10:G29">
    <cfRule type="dataBar" priority="1">
      <dataBar>
        <cfvo type="num" val="0"/>
        <cfvo type="num" val="1"/>
        <color rgb="002E75B6"/>
      </dataBar>
    </cfRule>
  </conditionalFormatting>
  <conditionalFormatting sqref="B10:B29">
    <cfRule type="expression" priority="2" dxfId="7">
      <formula>$G10=1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1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11" customWidth="1" min="3" max="3"/>
    <col width="11" customWidth="1" min="4" max="4"/>
    <col width="13" customWidth="1" min="5" max="5"/>
    <col width="16" customWidth="1" min="6" max="6"/>
    <col width="10" customWidth="1" min="7" max="7"/>
    <col width="13" customWidth="1" min="8" max="8"/>
    <col width="14" customWidth="1" min="9" max="9"/>
    <col width="14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13" customWidth="1" min="19" max="19"/>
    <col width="12" customWidth="1" min="20" max="20"/>
    <col width="10" customWidth="1" min="21" max="21"/>
    <col width="12" customWidth="1" min="22" max="22"/>
    <col width="12" customWidth="1" min="23" max="23"/>
    <col width="12" customWidth="1" min="24" max="24"/>
    <col width="24" customWidth="1" min="25" max="25"/>
    <col width="24" customWidth="1" min="26" max="26"/>
  </cols>
  <sheetData>
    <row r="1" ht="34" customHeight="1">
      <c r="A1" s="1" t="inlineStr">
        <is>
          <t>案件進捗管理（対象 100〜110社）　An-field様 給与計算業務 完全移管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0" customHeight="1">
      <c r="A2" s="3" t="inlineStr">
        <is>
          <t>【完全移管の定義】資料回収・給与計算・不明点対応・顧問先とのやり取り・納品・担当者管理まで、An-field様の日常的な管理なしで完結する状態。　※10月＝完全移管ではありません（10月は先行企業 実運用・対象企業拡大）。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8" customHeight="1">
      <c r="A3" s="5" t="inlineStr">
        <is>
          <t>※工数は1社あたり【月間】の想定時間（h）。現時点で実工数が不明なものは空欄のまま「要確認」とし、実績入力後に再計算してください（暫定値）。企業名は仮名称です。対象が100社の場合は不要行を削除してください。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46" customHeight="1">
      <c r="A4" s="15" t="inlineStr">
        <is>
          <t>No.</t>
        </is>
      </c>
      <c r="B4" s="15" t="inlineStr">
        <is>
          <t>企業名</t>
        </is>
      </c>
      <c r="C4" s="15" t="inlineStr">
        <is>
          <t>優先順位</t>
        </is>
      </c>
      <c r="D4" s="15" t="inlineStr">
        <is>
          <t>難易度</t>
        </is>
      </c>
      <c r="E4" s="15" t="inlineStr">
        <is>
          <t>移管ステータス</t>
        </is>
      </c>
      <c r="F4" s="15" t="inlineStr">
        <is>
          <t>秘書／ワーカー区分</t>
        </is>
      </c>
      <c r="G4" s="15" t="inlineStr">
        <is>
          <t>主担当</t>
        </is>
      </c>
      <c r="H4" s="15" t="inlineStr">
        <is>
          <t>バックアップ担当</t>
        </is>
      </c>
      <c r="I4" s="15" t="inlineStr">
        <is>
          <t>給与計算ソフト</t>
        </is>
      </c>
      <c r="J4" s="15" t="inlineStr">
        <is>
          <t>勤怠ツール</t>
        </is>
      </c>
      <c r="K4" s="15" t="inlineStr">
        <is>
          <t>締日</t>
        </is>
      </c>
      <c r="L4" s="15" t="inlineStr">
        <is>
          <t>支給日</t>
        </is>
      </c>
      <c r="M4" s="15" t="inlineStr">
        <is>
          <t>給与計算工数</t>
        </is>
      </c>
      <c r="N4" s="15" t="inlineStr">
        <is>
          <t>資料回収工数</t>
        </is>
      </c>
      <c r="O4" s="15" t="inlineStr">
        <is>
          <t>顧客対応工数</t>
        </is>
      </c>
      <c r="P4" s="15" t="inlineStr">
        <is>
          <t>質問対応工数</t>
        </is>
      </c>
      <c r="Q4" s="15" t="inlineStr">
        <is>
          <t>合計工数</t>
        </is>
      </c>
      <c r="R4" s="15" t="inlineStr">
        <is>
          <t>チェックシート受領</t>
        </is>
      </c>
      <c r="S4" s="15" t="inlineStr">
        <is>
          <t>業務レクチャー完了</t>
        </is>
      </c>
      <c r="T4" s="15" t="inlineStr">
        <is>
          <t>初回計算完了</t>
        </is>
      </c>
      <c r="U4" s="15" t="inlineStr">
        <is>
          <t>検証完了</t>
        </is>
      </c>
      <c r="V4" s="15" t="inlineStr">
        <is>
          <t>実運用開始日</t>
        </is>
      </c>
      <c r="W4" s="15" t="inlineStr">
        <is>
          <t>自走可能日</t>
        </is>
      </c>
      <c r="X4" s="15" t="inlineStr">
        <is>
          <t>完全移管日</t>
        </is>
      </c>
      <c r="Y4" s="15" t="inlineStr">
        <is>
          <t>課題</t>
        </is>
      </c>
      <c r="Z4" s="15" t="inlineStr">
        <is>
          <t>備考</t>
        </is>
      </c>
    </row>
    <row r="5" ht="24" customHeight="1">
      <c r="A5" s="106" t="inlineStr">
        <is>
          <t>例</t>
        </is>
      </c>
      <c r="B5" s="107" t="inlineStr">
        <is>
          <t>（記入例）株式会社サンプル</t>
        </is>
      </c>
      <c r="C5" s="106" t="inlineStr">
        <is>
          <t>1：最優先</t>
        </is>
      </c>
      <c r="D5" s="106" t="inlineStr">
        <is>
          <t>B：中程度</t>
        </is>
      </c>
      <c r="E5" s="106" t="inlineStr">
        <is>
          <t>2. 引継ぎ中</t>
        </is>
      </c>
      <c r="F5" s="106" t="inlineStr">
        <is>
          <t>秘書チーム中心</t>
        </is>
      </c>
      <c r="G5" s="106" t="inlineStr">
        <is>
          <t>山田</t>
        </is>
      </c>
      <c r="H5" s="106" t="inlineStr">
        <is>
          <t>佐藤</t>
        </is>
      </c>
      <c r="I5" s="106" t="inlineStr">
        <is>
          <t>セルズ給与</t>
        </is>
      </c>
      <c r="J5" s="106" t="inlineStr">
        <is>
          <t>KING OF TIME</t>
        </is>
      </c>
      <c r="K5" s="106" t="inlineStr">
        <is>
          <t>末日</t>
        </is>
      </c>
      <c r="L5" s="106" t="inlineStr">
        <is>
          <t>翌月15日</t>
        </is>
      </c>
      <c r="M5" s="108" t="n">
        <v>4</v>
      </c>
      <c r="N5" s="108" t="n">
        <v>1.5</v>
      </c>
      <c r="O5" s="108" t="n">
        <v>1</v>
      </c>
      <c r="P5" s="108" t="n">
        <v>0.5</v>
      </c>
      <c r="Q5" s="109">
        <f>SUM(M5:P5)</f>
        <v/>
      </c>
      <c r="R5" s="106" t="b">
        <v>1</v>
      </c>
      <c r="S5" s="106" t="b">
        <v>1</v>
      </c>
      <c r="T5" s="106" t="b">
        <v>0</v>
      </c>
      <c r="U5" s="106" t="b">
        <v>0</v>
      </c>
      <c r="V5" s="106" t="n"/>
      <c r="W5" s="106" t="n"/>
      <c r="X5" s="106" t="n"/>
      <c r="Y5" s="107" t="inlineStr">
        <is>
          <t>賞与月の計算ルールが未確認</t>
        </is>
      </c>
      <c r="Z5" s="107" t="inlineStr">
        <is>
          <t>従業員32名／例外：時給者の深夜割増あり</t>
        </is>
      </c>
    </row>
    <row r="6" ht="19" customHeight="1">
      <c r="A6" s="110" t="n">
        <v>1</v>
      </c>
      <c r="B6" s="111" t="inlineStr">
        <is>
          <t>企業001</t>
        </is>
      </c>
      <c r="C6" s="112" t="n"/>
      <c r="D6" s="112" t="n"/>
      <c r="E6" s="112" t="inlineStr">
        <is>
          <t>1. 未着手</t>
        </is>
      </c>
      <c r="F6" s="112" t="n"/>
      <c r="G6" s="112" t="n"/>
      <c r="H6" s="112" t="n"/>
      <c r="I6" s="112" t="n"/>
      <c r="J6" s="112" t="n"/>
      <c r="K6" s="112" t="n"/>
      <c r="L6" s="112" t="n"/>
      <c r="M6" s="113" t="n"/>
      <c r="N6" s="113" t="n"/>
      <c r="O6" s="113" t="n"/>
      <c r="P6" s="113" t="n"/>
      <c r="Q6" s="114">
        <f>SUM(M6:P6)</f>
        <v/>
      </c>
      <c r="R6" s="112" t="b">
        <v>0</v>
      </c>
      <c r="S6" s="112" t="b">
        <v>0</v>
      </c>
      <c r="T6" s="112" t="b">
        <v>0</v>
      </c>
      <c r="U6" s="112" t="b">
        <v>0</v>
      </c>
      <c r="V6" s="115" t="n"/>
      <c r="W6" s="115" t="n"/>
      <c r="X6" s="115" t="n"/>
      <c r="Y6" s="116" t="n"/>
      <c r="Z6" s="116" t="n"/>
    </row>
    <row r="7" ht="19" customHeight="1">
      <c r="A7" s="110" t="n">
        <v>2</v>
      </c>
      <c r="B7" s="111" t="inlineStr">
        <is>
          <t>企業002</t>
        </is>
      </c>
      <c r="C7" s="117" t="n"/>
      <c r="D7" s="117" t="n"/>
      <c r="E7" s="117" t="inlineStr">
        <is>
          <t>1. 未着手</t>
        </is>
      </c>
      <c r="F7" s="117" t="n"/>
      <c r="G7" s="117" t="n"/>
      <c r="H7" s="117" t="n"/>
      <c r="I7" s="117" t="n"/>
      <c r="J7" s="117" t="n"/>
      <c r="K7" s="117" t="n"/>
      <c r="L7" s="117" t="n"/>
      <c r="M7" s="118" t="n"/>
      <c r="N7" s="118" t="n"/>
      <c r="O7" s="118" t="n"/>
      <c r="P7" s="118" t="n"/>
      <c r="Q7" s="114">
        <f>SUM(M7:P7)</f>
        <v/>
      </c>
      <c r="R7" s="117" t="b">
        <v>0</v>
      </c>
      <c r="S7" s="117" t="b">
        <v>0</v>
      </c>
      <c r="T7" s="117" t="b">
        <v>0</v>
      </c>
      <c r="U7" s="117" t="b">
        <v>0</v>
      </c>
      <c r="V7" s="119" t="n"/>
      <c r="W7" s="119" t="n"/>
      <c r="X7" s="119" t="n"/>
      <c r="Y7" s="120" t="n"/>
      <c r="Z7" s="120" t="n"/>
    </row>
    <row r="8" ht="19" customHeight="1">
      <c r="A8" s="110" t="n">
        <v>3</v>
      </c>
      <c r="B8" s="111" t="inlineStr">
        <is>
          <t>企業003</t>
        </is>
      </c>
      <c r="C8" s="112" t="n"/>
      <c r="D8" s="112" t="n"/>
      <c r="E8" s="112" t="inlineStr">
        <is>
          <t>1. 未着手</t>
        </is>
      </c>
      <c r="F8" s="112" t="n"/>
      <c r="G8" s="112" t="n"/>
      <c r="H8" s="112" t="n"/>
      <c r="I8" s="112" t="n"/>
      <c r="J8" s="112" t="n"/>
      <c r="K8" s="112" t="n"/>
      <c r="L8" s="112" t="n"/>
      <c r="M8" s="113" t="n"/>
      <c r="N8" s="113" t="n"/>
      <c r="O8" s="113" t="n"/>
      <c r="P8" s="113" t="n"/>
      <c r="Q8" s="114">
        <f>SUM(M8:P8)</f>
        <v/>
      </c>
      <c r="R8" s="112" t="b">
        <v>0</v>
      </c>
      <c r="S8" s="112" t="b">
        <v>0</v>
      </c>
      <c r="T8" s="112" t="b">
        <v>0</v>
      </c>
      <c r="U8" s="112" t="b">
        <v>0</v>
      </c>
      <c r="V8" s="115" t="n"/>
      <c r="W8" s="115" t="n"/>
      <c r="X8" s="115" t="n"/>
      <c r="Y8" s="116" t="n"/>
      <c r="Z8" s="116" t="n"/>
    </row>
    <row r="9" ht="19" customHeight="1">
      <c r="A9" s="110" t="n">
        <v>4</v>
      </c>
      <c r="B9" s="111" t="inlineStr">
        <is>
          <t>企業004</t>
        </is>
      </c>
      <c r="C9" s="117" t="n"/>
      <c r="D9" s="117" t="n"/>
      <c r="E9" s="117" t="inlineStr">
        <is>
          <t>1. 未着手</t>
        </is>
      </c>
      <c r="F9" s="117" t="n"/>
      <c r="G9" s="117" t="n"/>
      <c r="H9" s="117" t="n"/>
      <c r="I9" s="117" t="n"/>
      <c r="J9" s="117" t="n"/>
      <c r="K9" s="117" t="n"/>
      <c r="L9" s="117" t="n"/>
      <c r="M9" s="118" t="n"/>
      <c r="N9" s="118" t="n"/>
      <c r="O9" s="118" t="n"/>
      <c r="P9" s="118" t="n"/>
      <c r="Q9" s="114">
        <f>SUM(M9:P9)</f>
        <v/>
      </c>
      <c r="R9" s="117" t="b">
        <v>0</v>
      </c>
      <c r="S9" s="117" t="b">
        <v>0</v>
      </c>
      <c r="T9" s="117" t="b">
        <v>0</v>
      </c>
      <c r="U9" s="117" t="b">
        <v>0</v>
      </c>
      <c r="V9" s="119" t="n"/>
      <c r="W9" s="119" t="n"/>
      <c r="X9" s="119" t="n"/>
      <c r="Y9" s="120" t="n"/>
      <c r="Z9" s="120" t="n"/>
    </row>
    <row r="10" ht="19" customHeight="1">
      <c r="A10" s="110" t="n">
        <v>5</v>
      </c>
      <c r="B10" s="111" t="inlineStr">
        <is>
          <t>企業005</t>
        </is>
      </c>
      <c r="C10" s="112" t="n"/>
      <c r="D10" s="112" t="n"/>
      <c r="E10" s="112" t="inlineStr">
        <is>
          <t>1. 未着手</t>
        </is>
      </c>
      <c r="F10" s="112" t="n"/>
      <c r="G10" s="112" t="n"/>
      <c r="H10" s="112" t="n"/>
      <c r="I10" s="112" t="n"/>
      <c r="J10" s="112" t="n"/>
      <c r="K10" s="112" t="n"/>
      <c r="L10" s="112" t="n"/>
      <c r="M10" s="113" t="n"/>
      <c r="N10" s="113" t="n"/>
      <c r="O10" s="113" t="n"/>
      <c r="P10" s="113" t="n"/>
      <c r="Q10" s="114">
        <f>SUM(M10:P10)</f>
        <v/>
      </c>
      <c r="R10" s="112" t="b">
        <v>0</v>
      </c>
      <c r="S10" s="112" t="b">
        <v>0</v>
      </c>
      <c r="T10" s="112" t="b">
        <v>0</v>
      </c>
      <c r="U10" s="112" t="b">
        <v>0</v>
      </c>
      <c r="V10" s="115" t="n"/>
      <c r="W10" s="115" t="n"/>
      <c r="X10" s="115" t="n"/>
      <c r="Y10" s="116" t="n"/>
      <c r="Z10" s="116" t="n"/>
    </row>
    <row r="11" ht="19" customHeight="1">
      <c r="A11" s="110" t="n">
        <v>6</v>
      </c>
      <c r="B11" s="111" t="inlineStr">
        <is>
          <t>企業006</t>
        </is>
      </c>
      <c r="C11" s="117" t="n"/>
      <c r="D11" s="117" t="n"/>
      <c r="E11" s="117" t="inlineStr">
        <is>
          <t>1. 未着手</t>
        </is>
      </c>
      <c r="F11" s="117" t="n"/>
      <c r="G11" s="117" t="n"/>
      <c r="H11" s="117" t="n"/>
      <c r="I11" s="117" t="n"/>
      <c r="J11" s="117" t="n"/>
      <c r="K11" s="117" t="n"/>
      <c r="L11" s="117" t="n"/>
      <c r="M11" s="118" t="n"/>
      <c r="N11" s="118" t="n"/>
      <c r="O11" s="118" t="n"/>
      <c r="P11" s="118" t="n"/>
      <c r="Q11" s="114">
        <f>SUM(M11:P11)</f>
        <v/>
      </c>
      <c r="R11" s="117" t="b">
        <v>0</v>
      </c>
      <c r="S11" s="117" t="b">
        <v>0</v>
      </c>
      <c r="T11" s="117" t="b">
        <v>0</v>
      </c>
      <c r="U11" s="117" t="b">
        <v>0</v>
      </c>
      <c r="V11" s="119" t="n"/>
      <c r="W11" s="119" t="n"/>
      <c r="X11" s="119" t="n"/>
      <c r="Y11" s="120" t="n"/>
      <c r="Z11" s="120" t="n"/>
    </row>
    <row r="12" ht="19" customHeight="1">
      <c r="A12" s="110" t="n">
        <v>7</v>
      </c>
      <c r="B12" s="111" t="inlineStr">
        <is>
          <t>企業007</t>
        </is>
      </c>
      <c r="C12" s="112" t="n"/>
      <c r="D12" s="112" t="n"/>
      <c r="E12" s="112" t="inlineStr">
        <is>
          <t>1. 未着手</t>
        </is>
      </c>
      <c r="F12" s="112" t="n"/>
      <c r="G12" s="112" t="n"/>
      <c r="H12" s="112" t="n"/>
      <c r="I12" s="112" t="n"/>
      <c r="J12" s="112" t="n"/>
      <c r="K12" s="112" t="n"/>
      <c r="L12" s="112" t="n"/>
      <c r="M12" s="113" t="n"/>
      <c r="N12" s="113" t="n"/>
      <c r="O12" s="113" t="n"/>
      <c r="P12" s="113" t="n"/>
      <c r="Q12" s="114">
        <f>SUM(M12:P12)</f>
        <v/>
      </c>
      <c r="R12" s="112" t="b">
        <v>0</v>
      </c>
      <c r="S12" s="112" t="b">
        <v>0</v>
      </c>
      <c r="T12" s="112" t="b">
        <v>0</v>
      </c>
      <c r="U12" s="112" t="b">
        <v>0</v>
      </c>
      <c r="V12" s="115" t="n"/>
      <c r="W12" s="115" t="n"/>
      <c r="X12" s="115" t="n"/>
      <c r="Y12" s="116" t="n"/>
      <c r="Z12" s="116" t="n"/>
    </row>
    <row r="13" ht="19" customHeight="1">
      <c r="A13" s="110" t="n">
        <v>8</v>
      </c>
      <c r="B13" s="111" t="inlineStr">
        <is>
          <t>企業008</t>
        </is>
      </c>
      <c r="C13" s="117" t="n"/>
      <c r="D13" s="117" t="n"/>
      <c r="E13" s="117" t="inlineStr">
        <is>
          <t>1. 未着手</t>
        </is>
      </c>
      <c r="F13" s="117" t="n"/>
      <c r="G13" s="117" t="n"/>
      <c r="H13" s="117" t="n"/>
      <c r="I13" s="117" t="n"/>
      <c r="J13" s="117" t="n"/>
      <c r="K13" s="117" t="n"/>
      <c r="L13" s="117" t="n"/>
      <c r="M13" s="118" t="n"/>
      <c r="N13" s="118" t="n"/>
      <c r="O13" s="118" t="n"/>
      <c r="P13" s="118" t="n"/>
      <c r="Q13" s="114">
        <f>SUM(M13:P13)</f>
        <v/>
      </c>
      <c r="R13" s="117" t="b">
        <v>0</v>
      </c>
      <c r="S13" s="117" t="b">
        <v>0</v>
      </c>
      <c r="T13" s="117" t="b">
        <v>0</v>
      </c>
      <c r="U13" s="117" t="b">
        <v>0</v>
      </c>
      <c r="V13" s="119" t="n"/>
      <c r="W13" s="119" t="n"/>
      <c r="X13" s="119" t="n"/>
      <c r="Y13" s="120" t="n"/>
      <c r="Z13" s="120" t="n"/>
    </row>
    <row r="14" ht="19" customHeight="1">
      <c r="A14" s="110" t="n">
        <v>9</v>
      </c>
      <c r="B14" s="111" t="inlineStr">
        <is>
          <t>企業009</t>
        </is>
      </c>
      <c r="C14" s="112" t="n"/>
      <c r="D14" s="112" t="n"/>
      <c r="E14" s="112" t="inlineStr">
        <is>
          <t>1. 未着手</t>
        </is>
      </c>
      <c r="F14" s="112" t="n"/>
      <c r="G14" s="112" t="n"/>
      <c r="H14" s="112" t="n"/>
      <c r="I14" s="112" t="n"/>
      <c r="J14" s="112" t="n"/>
      <c r="K14" s="112" t="n"/>
      <c r="L14" s="112" t="n"/>
      <c r="M14" s="113" t="n"/>
      <c r="N14" s="113" t="n"/>
      <c r="O14" s="113" t="n"/>
      <c r="P14" s="113" t="n"/>
      <c r="Q14" s="114">
        <f>SUM(M14:P14)</f>
        <v/>
      </c>
      <c r="R14" s="112" t="b">
        <v>0</v>
      </c>
      <c r="S14" s="112" t="b">
        <v>0</v>
      </c>
      <c r="T14" s="112" t="b">
        <v>0</v>
      </c>
      <c r="U14" s="112" t="b">
        <v>0</v>
      </c>
      <c r="V14" s="115" t="n"/>
      <c r="W14" s="115" t="n"/>
      <c r="X14" s="115" t="n"/>
      <c r="Y14" s="116" t="n"/>
      <c r="Z14" s="116" t="n"/>
    </row>
    <row r="15" ht="19" customHeight="1">
      <c r="A15" s="110" t="n">
        <v>10</v>
      </c>
      <c r="B15" s="111" t="inlineStr">
        <is>
          <t>企業010</t>
        </is>
      </c>
      <c r="C15" s="117" t="n"/>
      <c r="D15" s="117" t="n"/>
      <c r="E15" s="117" t="inlineStr">
        <is>
          <t>1. 未着手</t>
        </is>
      </c>
      <c r="F15" s="117" t="n"/>
      <c r="G15" s="117" t="n"/>
      <c r="H15" s="117" t="n"/>
      <c r="I15" s="117" t="n"/>
      <c r="J15" s="117" t="n"/>
      <c r="K15" s="117" t="n"/>
      <c r="L15" s="117" t="n"/>
      <c r="M15" s="118" t="n"/>
      <c r="N15" s="118" t="n"/>
      <c r="O15" s="118" t="n"/>
      <c r="P15" s="118" t="n"/>
      <c r="Q15" s="114">
        <f>SUM(M15:P15)</f>
        <v/>
      </c>
      <c r="R15" s="117" t="b">
        <v>0</v>
      </c>
      <c r="S15" s="117" t="b">
        <v>0</v>
      </c>
      <c r="T15" s="117" t="b">
        <v>0</v>
      </c>
      <c r="U15" s="117" t="b">
        <v>0</v>
      </c>
      <c r="V15" s="119" t="n"/>
      <c r="W15" s="119" t="n"/>
      <c r="X15" s="119" t="n"/>
      <c r="Y15" s="120" t="n"/>
      <c r="Z15" s="120" t="n"/>
    </row>
    <row r="16" ht="19" customHeight="1">
      <c r="A16" s="110" t="n">
        <v>11</v>
      </c>
      <c r="B16" s="111" t="inlineStr">
        <is>
          <t>企業011</t>
        </is>
      </c>
      <c r="C16" s="112" t="n"/>
      <c r="D16" s="112" t="n"/>
      <c r="E16" s="112" t="inlineStr">
        <is>
          <t>1. 未着手</t>
        </is>
      </c>
      <c r="F16" s="112" t="n"/>
      <c r="G16" s="112" t="n"/>
      <c r="H16" s="112" t="n"/>
      <c r="I16" s="112" t="n"/>
      <c r="J16" s="112" t="n"/>
      <c r="K16" s="112" t="n"/>
      <c r="L16" s="112" t="n"/>
      <c r="M16" s="113" t="n"/>
      <c r="N16" s="113" t="n"/>
      <c r="O16" s="113" t="n"/>
      <c r="P16" s="113" t="n"/>
      <c r="Q16" s="114">
        <f>SUM(M16:P16)</f>
        <v/>
      </c>
      <c r="R16" s="112" t="b">
        <v>0</v>
      </c>
      <c r="S16" s="112" t="b">
        <v>0</v>
      </c>
      <c r="T16" s="112" t="b">
        <v>0</v>
      </c>
      <c r="U16" s="112" t="b">
        <v>0</v>
      </c>
      <c r="V16" s="115" t="n"/>
      <c r="W16" s="115" t="n"/>
      <c r="X16" s="115" t="n"/>
      <c r="Y16" s="116" t="n"/>
      <c r="Z16" s="116" t="n"/>
    </row>
    <row r="17" ht="19" customHeight="1">
      <c r="A17" s="110" t="n">
        <v>12</v>
      </c>
      <c r="B17" s="111" t="inlineStr">
        <is>
          <t>企業012</t>
        </is>
      </c>
      <c r="C17" s="117" t="n"/>
      <c r="D17" s="117" t="n"/>
      <c r="E17" s="117" t="inlineStr">
        <is>
          <t>1. 未着手</t>
        </is>
      </c>
      <c r="F17" s="117" t="n"/>
      <c r="G17" s="117" t="n"/>
      <c r="H17" s="117" t="n"/>
      <c r="I17" s="117" t="n"/>
      <c r="J17" s="117" t="n"/>
      <c r="K17" s="117" t="n"/>
      <c r="L17" s="117" t="n"/>
      <c r="M17" s="118" t="n"/>
      <c r="N17" s="118" t="n"/>
      <c r="O17" s="118" t="n"/>
      <c r="P17" s="118" t="n"/>
      <c r="Q17" s="114">
        <f>SUM(M17:P17)</f>
        <v/>
      </c>
      <c r="R17" s="117" t="b">
        <v>0</v>
      </c>
      <c r="S17" s="117" t="b">
        <v>0</v>
      </c>
      <c r="T17" s="117" t="b">
        <v>0</v>
      </c>
      <c r="U17" s="117" t="b">
        <v>0</v>
      </c>
      <c r="V17" s="119" t="n"/>
      <c r="W17" s="119" t="n"/>
      <c r="X17" s="119" t="n"/>
      <c r="Y17" s="120" t="n"/>
      <c r="Z17" s="120" t="n"/>
    </row>
    <row r="18" ht="19" customHeight="1">
      <c r="A18" s="110" t="n">
        <v>13</v>
      </c>
      <c r="B18" s="111" t="inlineStr">
        <is>
          <t>企業013</t>
        </is>
      </c>
      <c r="C18" s="112" t="n"/>
      <c r="D18" s="112" t="n"/>
      <c r="E18" s="112" t="inlineStr">
        <is>
          <t>1. 未着手</t>
        </is>
      </c>
      <c r="F18" s="112" t="n"/>
      <c r="G18" s="112" t="n"/>
      <c r="H18" s="112" t="n"/>
      <c r="I18" s="112" t="n"/>
      <c r="J18" s="112" t="n"/>
      <c r="K18" s="112" t="n"/>
      <c r="L18" s="112" t="n"/>
      <c r="M18" s="113" t="n"/>
      <c r="N18" s="113" t="n"/>
      <c r="O18" s="113" t="n"/>
      <c r="P18" s="113" t="n"/>
      <c r="Q18" s="114">
        <f>SUM(M18:P18)</f>
        <v/>
      </c>
      <c r="R18" s="112" t="b">
        <v>0</v>
      </c>
      <c r="S18" s="112" t="b">
        <v>0</v>
      </c>
      <c r="T18" s="112" t="b">
        <v>0</v>
      </c>
      <c r="U18" s="112" t="b">
        <v>0</v>
      </c>
      <c r="V18" s="115" t="n"/>
      <c r="W18" s="115" t="n"/>
      <c r="X18" s="115" t="n"/>
      <c r="Y18" s="116" t="n"/>
      <c r="Z18" s="116" t="n"/>
    </row>
    <row r="19" ht="19" customHeight="1">
      <c r="A19" s="110" t="n">
        <v>14</v>
      </c>
      <c r="B19" s="111" t="inlineStr">
        <is>
          <t>企業014</t>
        </is>
      </c>
      <c r="C19" s="117" t="n"/>
      <c r="D19" s="117" t="n"/>
      <c r="E19" s="117" t="inlineStr">
        <is>
          <t>1. 未着手</t>
        </is>
      </c>
      <c r="F19" s="117" t="n"/>
      <c r="G19" s="117" t="n"/>
      <c r="H19" s="117" t="n"/>
      <c r="I19" s="117" t="n"/>
      <c r="J19" s="117" t="n"/>
      <c r="K19" s="117" t="n"/>
      <c r="L19" s="117" t="n"/>
      <c r="M19" s="118" t="n"/>
      <c r="N19" s="118" t="n"/>
      <c r="O19" s="118" t="n"/>
      <c r="P19" s="118" t="n"/>
      <c r="Q19" s="114">
        <f>SUM(M19:P19)</f>
        <v/>
      </c>
      <c r="R19" s="117" t="b">
        <v>0</v>
      </c>
      <c r="S19" s="117" t="b">
        <v>0</v>
      </c>
      <c r="T19" s="117" t="b">
        <v>0</v>
      </c>
      <c r="U19" s="117" t="b">
        <v>0</v>
      </c>
      <c r="V19" s="119" t="n"/>
      <c r="W19" s="119" t="n"/>
      <c r="X19" s="119" t="n"/>
      <c r="Y19" s="120" t="n"/>
      <c r="Z19" s="120" t="n"/>
    </row>
    <row r="20" ht="19" customHeight="1">
      <c r="A20" s="110" t="n">
        <v>15</v>
      </c>
      <c r="B20" s="111" t="inlineStr">
        <is>
          <t>企業015</t>
        </is>
      </c>
      <c r="C20" s="112" t="n"/>
      <c r="D20" s="112" t="n"/>
      <c r="E20" s="112" t="inlineStr">
        <is>
          <t>1. 未着手</t>
        </is>
      </c>
      <c r="F20" s="112" t="n"/>
      <c r="G20" s="112" t="n"/>
      <c r="H20" s="112" t="n"/>
      <c r="I20" s="112" t="n"/>
      <c r="J20" s="112" t="n"/>
      <c r="K20" s="112" t="n"/>
      <c r="L20" s="112" t="n"/>
      <c r="M20" s="113" t="n"/>
      <c r="N20" s="113" t="n"/>
      <c r="O20" s="113" t="n"/>
      <c r="P20" s="113" t="n"/>
      <c r="Q20" s="114">
        <f>SUM(M20:P20)</f>
        <v/>
      </c>
      <c r="R20" s="112" t="b">
        <v>0</v>
      </c>
      <c r="S20" s="112" t="b">
        <v>0</v>
      </c>
      <c r="T20" s="112" t="b">
        <v>0</v>
      </c>
      <c r="U20" s="112" t="b">
        <v>0</v>
      </c>
      <c r="V20" s="115" t="n"/>
      <c r="W20" s="115" t="n"/>
      <c r="X20" s="115" t="n"/>
      <c r="Y20" s="116" t="n"/>
      <c r="Z20" s="116" t="n"/>
    </row>
    <row r="21" ht="19" customHeight="1">
      <c r="A21" s="110" t="n">
        <v>16</v>
      </c>
      <c r="B21" s="111" t="inlineStr">
        <is>
          <t>企業016</t>
        </is>
      </c>
      <c r="C21" s="117" t="n"/>
      <c r="D21" s="117" t="n"/>
      <c r="E21" s="117" t="inlineStr">
        <is>
          <t>1. 未着手</t>
        </is>
      </c>
      <c r="F21" s="117" t="n"/>
      <c r="G21" s="117" t="n"/>
      <c r="H21" s="117" t="n"/>
      <c r="I21" s="117" t="n"/>
      <c r="J21" s="117" t="n"/>
      <c r="K21" s="117" t="n"/>
      <c r="L21" s="117" t="n"/>
      <c r="M21" s="118" t="n"/>
      <c r="N21" s="118" t="n"/>
      <c r="O21" s="118" t="n"/>
      <c r="P21" s="118" t="n"/>
      <c r="Q21" s="114">
        <f>SUM(M21:P21)</f>
        <v/>
      </c>
      <c r="R21" s="117" t="b">
        <v>0</v>
      </c>
      <c r="S21" s="117" t="b">
        <v>0</v>
      </c>
      <c r="T21" s="117" t="b">
        <v>0</v>
      </c>
      <c r="U21" s="117" t="b">
        <v>0</v>
      </c>
      <c r="V21" s="119" t="n"/>
      <c r="W21" s="119" t="n"/>
      <c r="X21" s="119" t="n"/>
      <c r="Y21" s="120" t="n"/>
      <c r="Z21" s="120" t="n"/>
    </row>
    <row r="22" ht="19" customHeight="1">
      <c r="A22" s="110" t="n">
        <v>17</v>
      </c>
      <c r="B22" s="111" t="inlineStr">
        <is>
          <t>企業017</t>
        </is>
      </c>
      <c r="C22" s="112" t="n"/>
      <c r="D22" s="112" t="n"/>
      <c r="E22" s="112" t="inlineStr">
        <is>
          <t>1. 未着手</t>
        </is>
      </c>
      <c r="F22" s="112" t="n"/>
      <c r="G22" s="112" t="n"/>
      <c r="H22" s="112" t="n"/>
      <c r="I22" s="112" t="n"/>
      <c r="J22" s="112" t="n"/>
      <c r="K22" s="112" t="n"/>
      <c r="L22" s="112" t="n"/>
      <c r="M22" s="113" t="n"/>
      <c r="N22" s="113" t="n"/>
      <c r="O22" s="113" t="n"/>
      <c r="P22" s="113" t="n"/>
      <c r="Q22" s="114">
        <f>SUM(M22:P22)</f>
        <v/>
      </c>
      <c r="R22" s="112" t="b">
        <v>0</v>
      </c>
      <c r="S22" s="112" t="b">
        <v>0</v>
      </c>
      <c r="T22" s="112" t="b">
        <v>0</v>
      </c>
      <c r="U22" s="112" t="b">
        <v>0</v>
      </c>
      <c r="V22" s="115" t="n"/>
      <c r="W22" s="115" t="n"/>
      <c r="X22" s="115" t="n"/>
      <c r="Y22" s="116" t="n"/>
      <c r="Z22" s="116" t="n"/>
    </row>
    <row r="23" ht="19" customHeight="1">
      <c r="A23" s="110" t="n">
        <v>18</v>
      </c>
      <c r="B23" s="111" t="inlineStr">
        <is>
          <t>企業018</t>
        </is>
      </c>
      <c r="C23" s="117" t="n"/>
      <c r="D23" s="117" t="n"/>
      <c r="E23" s="117" t="inlineStr">
        <is>
          <t>1. 未着手</t>
        </is>
      </c>
      <c r="F23" s="117" t="n"/>
      <c r="G23" s="117" t="n"/>
      <c r="H23" s="117" t="n"/>
      <c r="I23" s="117" t="n"/>
      <c r="J23" s="117" t="n"/>
      <c r="K23" s="117" t="n"/>
      <c r="L23" s="117" t="n"/>
      <c r="M23" s="118" t="n"/>
      <c r="N23" s="118" t="n"/>
      <c r="O23" s="118" t="n"/>
      <c r="P23" s="118" t="n"/>
      <c r="Q23" s="114">
        <f>SUM(M23:P23)</f>
        <v/>
      </c>
      <c r="R23" s="117" t="b">
        <v>0</v>
      </c>
      <c r="S23" s="117" t="b">
        <v>0</v>
      </c>
      <c r="T23" s="117" t="b">
        <v>0</v>
      </c>
      <c r="U23" s="117" t="b">
        <v>0</v>
      </c>
      <c r="V23" s="119" t="n"/>
      <c r="W23" s="119" t="n"/>
      <c r="X23" s="119" t="n"/>
      <c r="Y23" s="120" t="n"/>
      <c r="Z23" s="120" t="n"/>
    </row>
    <row r="24" ht="19" customHeight="1">
      <c r="A24" s="110" t="n">
        <v>19</v>
      </c>
      <c r="B24" s="111" t="inlineStr">
        <is>
          <t>企業019</t>
        </is>
      </c>
      <c r="C24" s="112" t="n"/>
      <c r="D24" s="112" t="n"/>
      <c r="E24" s="112" t="inlineStr">
        <is>
          <t>1. 未着手</t>
        </is>
      </c>
      <c r="F24" s="112" t="n"/>
      <c r="G24" s="112" t="n"/>
      <c r="H24" s="112" t="n"/>
      <c r="I24" s="112" t="n"/>
      <c r="J24" s="112" t="n"/>
      <c r="K24" s="112" t="n"/>
      <c r="L24" s="112" t="n"/>
      <c r="M24" s="113" t="n"/>
      <c r="N24" s="113" t="n"/>
      <c r="O24" s="113" t="n"/>
      <c r="P24" s="113" t="n"/>
      <c r="Q24" s="114">
        <f>SUM(M24:P24)</f>
        <v/>
      </c>
      <c r="R24" s="112" t="b">
        <v>0</v>
      </c>
      <c r="S24" s="112" t="b">
        <v>0</v>
      </c>
      <c r="T24" s="112" t="b">
        <v>0</v>
      </c>
      <c r="U24" s="112" t="b">
        <v>0</v>
      </c>
      <c r="V24" s="115" t="n"/>
      <c r="W24" s="115" t="n"/>
      <c r="X24" s="115" t="n"/>
      <c r="Y24" s="116" t="n"/>
      <c r="Z24" s="116" t="n"/>
    </row>
    <row r="25" ht="19" customHeight="1">
      <c r="A25" s="110" t="n">
        <v>20</v>
      </c>
      <c r="B25" s="111" t="inlineStr">
        <is>
          <t>企業020</t>
        </is>
      </c>
      <c r="C25" s="117" t="n"/>
      <c r="D25" s="117" t="n"/>
      <c r="E25" s="117" t="inlineStr">
        <is>
          <t>1. 未着手</t>
        </is>
      </c>
      <c r="F25" s="117" t="n"/>
      <c r="G25" s="117" t="n"/>
      <c r="H25" s="117" t="n"/>
      <c r="I25" s="117" t="n"/>
      <c r="J25" s="117" t="n"/>
      <c r="K25" s="117" t="n"/>
      <c r="L25" s="117" t="n"/>
      <c r="M25" s="118" t="n"/>
      <c r="N25" s="118" t="n"/>
      <c r="O25" s="118" t="n"/>
      <c r="P25" s="118" t="n"/>
      <c r="Q25" s="114">
        <f>SUM(M25:P25)</f>
        <v/>
      </c>
      <c r="R25" s="117" t="b">
        <v>0</v>
      </c>
      <c r="S25" s="117" t="b">
        <v>0</v>
      </c>
      <c r="T25" s="117" t="b">
        <v>0</v>
      </c>
      <c r="U25" s="117" t="b">
        <v>0</v>
      </c>
      <c r="V25" s="119" t="n"/>
      <c r="W25" s="119" t="n"/>
      <c r="X25" s="119" t="n"/>
      <c r="Y25" s="120" t="n"/>
      <c r="Z25" s="120" t="n"/>
    </row>
    <row r="26" ht="19" customHeight="1">
      <c r="A26" s="110" t="n">
        <v>21</v>
      </c>
      <c r="B26" s="111" t="inlineStr">
        <is>
          <t>企業021</t>
        </is>
      </c>
      <c r="C26" s="112" t="n"/>
      <c r="D26" s="112" t="n"/>
      <c r="E26" s="112" t="inlineStr">
        <is>
          <t>1. 未着手</t>
        </is>
      </c>
      <c r="F26" s="112" t="n"/>
      <c r="G26" s="112" t="n"/>
      <c r="H26" s="112" t="n"/>
      <c r="I26" s="112" t="n"/>
      <c r="J26" s="112" t="n"/>
      <c r="K26" s="112" t="n"/>
      <c r="L26" s="112" t="n"/>
      <c r="M26" s="113" t="n"/>
      <c r="N26" s="113" t="n"/>
      <c r="O26" s="113" t="n"/>
      <c r="P26" s="113" t="n"/>
      <c r="Q26" s="114">
        <f>SUM(M26:P26)</f>
        <v/>
      </c>
      <c r="R26" s="112" t="b">
        <v>0</v>
      </c>
      <c r="S26" s="112" t="b">
        <v>0</v>
      </c>
      <c r="T26" s="112" t="b">
        <v>0</v>
      </c>
      <c r="U26" s="112" t="b">
        <v>0</v>
      </c>
      <c r="V26" s="115" t="n"/>
      <c r="W26" s="115" t="n"/>
      <c r="X26" s="115" t="n"/>
      <c r="Y26" s="116" t="n"/>
      <c r="Z26" s="116" t="n"/>
    </row>
    <row r="27" ht="19" customHeight="1">
      <c r="A27" s="110" t="n">
        <v>22</v>
      </c>
      <c r="B27" s="111" t="inlineStr">
        <is>
          <t>企業022</t>
        </is>
      </c>
      <c r="C27" s="117" t="n"/>
      <c r="D27" s="117" t="n"/>
      <c r="E27" s="117" t="inlineStr">
        <is>
          <t>1. 未着手</t>
        </is>
      </c>
      <c r="F27" s="117" t="n"/>
      <c r="G27" s="117" t="n"/>
      <c r="H27" s="117" t="n"/>
      <c r="I27" s="117" t="n"/>
      <c r="J27" s="117" t="n"/>
      <c r="K27" s="117" t="n"/>
      <c r="L27" s="117" t="n"/>
      <c r="M27" s="118" t="n"/>
      <c r="N27" s="118" t="n"/>
      <c r="O27" s="118" t="n"/>
      <c r="P27" s="118" t="n"/>
      <c r="Q27" s="114">
        <f>SUM(M27:P27)</f>
        <v/>
      </c>
      <c r="R27" s="117" t="b">
        <v>0</v>
      </c>
      <c r="S27" s="117" t="b">
        <v>0</v>
      </c>
      <c r="T27" s="117" t="b">
        <v>0</v>
      </c>
      <c r="U27" s="117" t="b">
        <v>0</v>
      </c>
      <c r="V27" s="119" t="n"/>
      <c r="W27" s="119" t="n"/>
      <c r="X27" s="119" t="n"/>
      <c r="Y27" s="120" t="n"/>
      <c r="Z27" s="120" t="n"/>
    </row>
    <row r="28" ht="19" customHeight="1">
      <c r="A28" s="110" t="n">
        <v>23</v>
      </c>
      <c r="B28" s="111" t="inlineStr">
        <is>
          <t>企業023</t>
        </is>
      </c>
      <c r="C28" s="112" t="n"/>
      <c r="D28" s="112" t="n"/>
      <c r="E28" s="112" t="inlineStr">
        <is>
          <t>1. 未着手</t>
        </is>
      </c>
      <c r="F28" s="112" t="n"/>
      <c r="G28" s="112" t="n"/>
      <c r="H28" s="112" t="n"/>
      <c r="I28" s="112" t="n"/>
      <c r="J28" s="112" t="n"/>
      <c r="K28" s="112" t="n"/>
      <c r="L28" s="112" t="n"/>
      <c r="M28" s="113" t="n"/>
      <c r="N28" s="113" t="n"/>
      <c r="O28" s="113" t="n"/>
      <c r="P28" s="113" t="n"/>
      <c r="Q28" s="114">
        <f>SUM(M28:P28)</f>
        <v/>
      </c>
      <c r="R28" s="112" t="b">
        <v>0</v>
      </c>
      <c r="S28" s="112" t="b">
        <v>0</v>
      </c>
      <c r="T28" s="112" t="b">
        <v>0</v>
      </c>
      <c r="U28" s="112" t="b">
        <v>0</v>
      </c>
      <c r="V28" s="115" t="n"/>
      <c r="W28" s="115" t="n"/>
      <c r="X28" s="115" t="n"/>
      <c r="Y28" s="116" t="n"/>
      <c r="Z28" s="116" t="n"/>
    </row>
    <row r="29" ht="19" customHeight="1">
      <c r="A29" s="110" t="n">
        <v>24</v>
      </c>
      <c r="B29" s="111" t="inlineStr">
        <is>
          <t>企業024</t>
        </is>
      </c>
      <c r="C29" s="117" t="n"/>
      <c r="D29" s="117" t="n"/>
      <c r="E29" s="117" t="inlineStr">
        <is>
          <t>1. 未着手</t>
        </is>
      </c>
      <c r="F29" s="117" t="n"/>
      <c r="G29" s="117" t="n"/>
      <c r="H29" s="117" t="n"/>
      <c r="I29" s="117" t="n"/>
      <c r="J29" s="117" t="n"/>
      <c r="K29" s="117" t="n"/>
      <c r="L29" s="117" t="n"/>
      <c r="M29" s="118" t="n"/>
      <c r="N29" s="118" t="n"/>
      <c r="O29" s="118" t="n"/>
      <c r="P29" s="118" t="n"/>
      <c r="Q29" s="114">
        <f>SUM(M29:P29)</f>
        <v/>
      </c>
      <c r="R29" s="117" t="b">
        <v>0</v>
      </c>
      <c r="S29" s="117" t="b">
        <v>0</v>
      </c>
      <c r="T29" s="117" t="b">
        <v>0</v>
      </c>
      <c r="U29" s="117" t="b">
        <v>0</v>
      </c>
      <c r="V29" s="119" t="n"/>
      <c r="W29" s="119" t="n"/>
      <c r="X29" s="119" t="n"/>
      <c r="Y29" s="120" t="n"/>
      <c r="Z29" s="120" t="n"/>
    </row>
    <row r="30" ht="19" customHeight="1">
      <c r="A30" s="110" t="n">
        <v>25</v>
      </c>
      <c r="B30" s="111" t="inlineStr">
        <is>
          <t>企業025</t>
        </is>
      </c>
      <c r="C30" s="112" t="n"/>
      <c r="D30" s="112" t="n"/>
      <c r="E30" s="112" t="inlineStr">
        <is>
          <t>1. 未着手</t>
        </is>
      </c>
      <c r="F30" s="112" t="n"/>
      <c r="G30" s="112" t="n"/>
      <c r="H30" s="112" t="n"/>
      <c r="I30" s="112" t="n"/>
      <c r="J30" s="112" t="n"/>
      <c r="K30" s="112" t="n"/>
      <c r="L30" s="112" t="n"/>
      <c r="M30" s="113" t="n"/>
      <c r="N30" s="113" t="n"/>
      <c r="O30" s="113" t="n"/>
      <c r="P30" s="113" t="n"/>
      <c r="Q30" s="114">
        <f>SUM(M30:P30)</f>
        <v/>
      </c>
      <c r="R30" s="112" t="b">
        <v>0</v>
      </c>
      <c r="S30" s="112" t="b">
        <v>0</v>
      </c>
      <c r="T30" s="112" t="b">
        <v>0</v>
      </c>
      <c r="U30" s="112" t="b">
        <v>0</v>
      </c>
      <c r="V30" s="115" t="n"/>
      <c r="W30" s="115" t="n"/>
      <c r="X30" s="115" t="n"/>
      <c r="Y30" s="116" t="n"/>
      <c r="Z30" s="116" t="n"/>
    </row>
    <row r="31" ht="19" customHeight="1">
      <c r="A31" s="110" t="n">
        <v>26</v>
      </c>
      <c r="B31" s="111" t="inlineStr">
        <is>
          <t>企業026</t>
        </is>
      </c>
      <c r="C31" s="117" t="n"/>
      <c r="D31" s="117" t="n"/>
      <c r="E31" s="117" t="inlineStr">
        <is>
          <t>1. 未着手</t>
        </is>
      </c>
      <c r="F31" s="117" t="n"/>
      <c r="G31" s="117" t="n"/>
      <c r="H31" s="117" t="n"/>
      <c r="I31" s="117" t="n"/>
      <c r="J31" s="117" t="n"/>
      <c r="K31" s="117" t="n"/>
      <c r="L31" s="117" t="n"/>
      <c r="M31" s="118" t="n"/>
      <c r="N31" s="118" t="n"/>
      <c r="O31" s="118" t="n"/>
      <c r="P31" s="118" t="n"/>
      <c r="Q31" s="114">
        <f>SUM(M31:P31)</f>
        <v/>
      </c>
      <c r="R31" s="117" t="b">
        <v>0</v>
      </c>
      <c r="S31" s="117" t="b">
        <v>0</v>
      </c>
      <c r="T31" s="117" t="b">
        <v>0</v>
      </c>
      <c r="U31" s="117" t="b">
        <v>0</v>
      </c>
      <c r="V31" s="119" t="n"/>
      <c r="W31" s="119" t="n"/>
      <c r="X31" s="119" t="n"/>
      <c r="Y31" s="120" t="n"/>
      <c r="Z31" s="120" t="n"/>
    </row>
    <row r="32" ht="19" customHeight="1">
      <c r="A32" s="110" t="n">
        <v>27</v>
      </c>
      <c r="B32" s="111" t="inlineStr">
        <is>
          <t>企業027</t>
        </is>
      </c>
      <c r="C32" s="112" t="n"/>
      <c r="D32" s="112" t="n"/>
      <c r="E32" s="112" t="inlineStr">
        <is>
          <t>1. 未着手</t>
        </is>
      </c>
      <c r="F32" s="112" t="n"/>
      <c r="G32" s="112" t="n"/>
      <c r="H32" s="112" t="n"/>
      <c r="I32" s="112" t="n"/>
      <c r="J32" s="112" t="n"/>
      <c r="K32" s="112" t="n"/>
      <c r="L32" s="112" t="n"/>
      <c r="M32" s="113" t="n"/>
      <c r="N32" s="113" t="n"/>
      <c r="O32" s="113" t="n"/>
      <c r="P32" s="113" t="n"/>
      <c r="Q32" s="114">
        <f>SUM(M32:P32)</f>
        <v/>
      </c>
      <c r="R32" s="112" t="b">
        <v>0</v>
      </c>
      <c r="S32" s="112" t="b">
        <v>0</v>
      </c>
      <c r="T32" s="112" t="b">
        <v>0</v>
      </c>
      <c r="U32" s="112" t="b">
        <v>0</v>
      </c>
      <c r="V32" s="115" t="n"/>
      <c r="W32" s="115" t="n"/>
      <c r="X32" s="115" t="n"/>
      <c r="Y32" s="116" t="n"/>
      <c r="Z32" s="116" t="n"/>
    </row>
    <row r="33" ht="19" customHeight="1">
      <c r="A33" s="110" t="n">
        <v>28</v>
      </c>
      <c r="B33" s="111" t="inlineStr">
        <is>
          <t>企業028</t>
        </is>
      </c>
      <c r="C33" s="117" t="n"/>
      <c r="D33" s="117" t="n"/>
      <c r="E33" s="117" t="inlineStr">
        <is>
          <t>1. 未着手</t>
        </is>
      </c>
      <c r="F33" s="117" t="n"/>
      <c r="G33" s="117" t="n"/>
      <c r="H33" s="117" t="n"/>
      <c r="I33" s="117" t="n"/>
      <c r="J33" s="117" t="n"/>
      <c r="K33" s="117" t="n"/>
      <c r="L33" s="117" t="n"/>
      <c r="M33" s="118" t="n"/>
      <c r="N33" s="118" t="n"/>
      <c r="O33" s="118" t="n"/>
      <c r="P33" s="118" t="n"/>
      <c r="Q33" s="114">
        <f>SUM(M33:P33)</f>
        <v/>
      </c>
      <c r="R33" s="117" t="b">
        <v>0</v>
      </c>
      <c r="S33" s="117" t="b">
        <v>0</v>
      </c>
      <c r="T33" s="117" t="b">
        <v>0</v>
      </c>
      <c r="U33" s="117" t="b">
        <v>0</v>
      </c>
      <c r="V33" s="119" t="n"/>
      <c r="W33" s="119" t="n"/>
      <c r="X33" s="119" t="n"/>
      <c r="Y33" s="120" t="n"/>
      <c r="Z33" s="120" t="n"/>
    </row>
    <row r="34" ht="19" customHeight="1">
      <c r="A34" s="110" t="n">
        <v>29</v>
      </c>
      <c r="B34" s="111" t="inlineStr">
        <is>
          <t>企業029</t>
        </is>
      </c>
      <c r="C34" s="112" t="n"/>
      <c r="D34" s="112" t="n"/>
      <c r="E34" s="112" t="inlineStr">
        <is>
          <t>1. 未着手</t>
        </is>
      </c>
      <c r="F34" s="112" t="n"/>
      <c r="G34" s="112" t="n"/>
      <c r="H34" s="112" t="n"/>
      <c r="I34" s="112" t="n"/>
      <c r="J34" s="112" t="n"/>
      <c r="K34" s="112" t="n"/>
      <c r="L34" s="112" t="n"/>
      <c r="M34" s="113" t="n"/>
      <c r="N34" s="113" t="n"/>
      <c r="O34" s="113" t="n"/>
      <c r="P34" s="113" t="n"/>
      <c r="Q34" s="114">
        <f>SUM(M34:P34)</f>
        <v/>
      </c>
      <c r="R34" s="112" t="b">
        <v>0</v>
      </c>
      <c r="S34" s="112" t="b">
        <v>0</v>
      </c>
      <c r="T34" s="112" t="b">
        <v>0</v>
      </c>
      <c r="U34" s="112" t="b">
        <v>0</v>
      </c>
      <c r="V34" s="115" t="n"/>
      <c r="W34" s="115" t="n"/>
      <c r="X34" s="115" t="n"/>
      <c r="Y34" s="116" t="n"/>
      <c r="Z34" s="116" t="n"/>
    </row>
    <row r="35" ht="19" customHeight="1">
      <c r="A35" s="110" t="n">
        <v>30</v>
      </c>
      <c r="B35" s="111" t="inlineStr">
        <is>
          <t>企業030</t>
        </is>
      </c>
      <c r="C35" s="117" t="n"/>
      <c r="D35" s="117" t="n"/>
      <c r="E35" s="117" t="inlineStr">
        <is>
          <t>1. 未着手</t>
        </is>
      </c>
      <c r="F35" s="117" t="n"/>
      <c r="G35" s="117" t="n"/>
      <c r="H35" s="117" t="n"/>
      <c r="I35" s="117" t="n"/>
      <c r="J35" s="117" t="n"/>
      <c r="K35" s="117" t="n"/>
      <c r="L35" s="117" t="n"/>
      <c r="M35" s="118" t="n"/>
      <c r="N35" s="118" t="n"/>
      <c r="O35" s="118" t="n"/>
      <c r="P35" s="118" t="n"/>
      <c r="Q35" s="114">
        <f>SUM(M35:P35)</f>
        <v/>
      </c>
      <c r="R35" s="117" t="b">
        <v>0</v>
      </c>
      <c r="S35" s="117" t="b">
        <v>0</v>
      </c>
      <c r="T35" s="117" t="b">
        <v>0</v>
      </c>
      <c r="U35" s="117" t="b">
        <v>0</v>
      </c>
      <c r="V35" s="119" t="n"/>
      <c r="W35" s="119" t="n"/>
      <c r="X35" s="119" t="n"/>
      <c r="Y35" s="120" t="n"/>
      <c r="Z35" s="120" t="n"/>
    </row>
    <row r="36" ht="19" customHeight="1">
      <c r="A36" s="110" t="n">
        <v>31</v>
      </c>
      <c r="B36" s="111" t="inlineStr">
        <is>
          <t>企業031</t>
        </is>
      </c>
      <c r="C36" s="112" t="n"/>
      <c r="D36" s="112" t="n"/>
      <c r="E36" s="112" t="inlineStr">
        <is>
          <t>1. 未着手</t>
        </is>
      </c>
      <c r="F36" s="112" t="n"/>
      <c r="G36" s="112" t="n"/>
      <c r="H36" s="112" t="n"/>
      <c r="I36" s="112" t="n"/>
      <c r="J36" s="112" t="n"/>
      <c r="K36" s="112" t="n"/>
      <c r="L36" s="112" t="n"/>
      <c r="M36" s="113" t="n"/>
      <c r="N36" s="113" t="n"/>
      <c r="O36" s="113" t="n"/>
      <c r="P36" s="113" t="n"/>
      <c r="Q36" s="114">
        <f>SUM(M36:P36)</f>
        <v/>
      </c>
      <c r="R36" s="112" t="b">
        <v>0</v>
      </c>
      <c r="S36" s="112" t="b">
        <v>0</v>
      </c>
      <c r="T36" s="112" t="b">
        <v>0</v>
      </c>
      <c r="U36" s="112" t="b">
        <v>0</v>
      </c>
      <c r="V36" s="115" t="n"/>
      <c r="W36" s="115" t="n"/>
      <c r="X36" s="115" t="n"/>
      <c r="Y36" s="116" t="n"/>
      <c r="Z36" s="116" t="n"/>
    </row>
    <row r="37" ht="19" customHeight="1">
      <c r="A37" s="110" t="n">
        <v>32</v>
      </c>
      <c r="B37" s="111" t="inlineStr">
        <is>
          <t>企業032</t>
        </is>
      </c>
      <c r="C37" s="117" t="n"/>
      <c r="D37" s="117" t="n"/>
      <c r="E37" s="117" t="inlineStr">
        <is>
          <t>1. 未着手</t>
        </is>
      </c>
      <c r="F37" s="117" t="n"/>
      <c r="G37" s="117" t="n"/>
      <c r="H37" s="117" t="n"/>
      <c r="I37" s="117" t="n"/>
      <c r="J37" s="117" t="n"/>
      <c r="K37" s="117" t="n"/>
      <c r="L37" s="117" t="n"/>
      <c r="M37" s="118" t="n"/>
      <c r="N37" s="118" t="n"/>
      <c r="O37" s="118" t="n"/>
      <c r="P37" s="118" t="n"/>
      <c r="Q37" s="114">
        <f>SUM(M37:P37)</f>
        <v/>
      </c>
      <c r="R37" s="117" t="b">
        <v>0</v>
      </c>
      <c r="S37" s="117" t="b">
        <v>0</v>
      </c>
      <c r="T37" s="117" t="b">
        <v>0</v>
      </c>
      <c r="U37" s="117" t="b">
        <v>0</v>
      </c>
      <c r="V37" s="119" t="n"/>
      <c r="W37" s="119" t="n"/>
      <c r="X37" s="119" t="n"/>
      <c r="Y37" s="120" t="n"/>
      <c r="Z37" s="120" t="n"/>
    </row>
    <row r="38" ht="19" customHeight="1">
      <c r="A38" s="110" t="n">
        <v>33</v>
      </c>
      <c r="B38" s="111" t="inlineStr">
        <is>
          <t>企業033</t>
        </is>
      </c>
      <c r="C38" s="112" t="n"/>
      <c r="D38" s="112" t="n"/>
      <c r="E38" s="112" t="inlineStr">
        <is>
          <t>1. 未着手</t>
        </is>
      </c>
      <c r="F38" s="112" t="n"/>
      <c r="G38" s="112" t="n"/>
      <c r="H38" s="112" t="n"/>
      <c r="I38" s="112" t="n"/>
      <c r="J38" s="112" t="n"/>
      <c r="K38" s="112" t="n"/>
      <c r="L38" s="112" t="n"/>
      <c r="M38" s="113" t="n"/>
      <c r="N38" s="113" t="n"/>
      <c r="O38" s="113" t="n"/>
      <c r="P38" s="113" t="n"/>
      <c r="Q38" s="114">
        <f>SUM(M38:P38)</f>
        <v/>
      </c>
      <c r="R38" s="112" t="b">
        <v>0</v>
      </c>
      <c r="S38" s="112" t="b">
        <v>0</v>
      </c>
      <c r="T38" s="112" t="b">
        <v>0</v>
      </c>
      <c r="U38" s="112" t="b">
        <v>0</v>
      </c>
      <c r="V38" s="115" t="n"/>
      <c r="W38" s="115" t="n"/>
      <c r="X38" s="115" t="n"/>
      <c r="Y38" s="116" t="n"/>
      <c r="Z38" s="116" t="n"/>
    </row>
    <row r="39" ht="19" customHeight="1">
      <c r="A39" s="110" t="n">
        <v>34</v>
      </c>
      <c r="B39" s="111" t="inlineStr">
        <is>
          <t>企業034</t>
        </is>
      </c>
      <c r="C39" s="117" t="n"/>
      <c r="D39" s="117" t="n"/>
      <c r="E39" s="117" t="inlineStr">
        <is>
          <t>1. 未着手</t>
        </is>
      </c>
      <c r="F39" s="117" t="n"/>
      <c r="G39" s="117" t="n"/>
      <c r="H39" s="117" t="n"/>
      <c r="I39" s="117" t="n"/>
      <c r="J39" s="117" t="n"/>
      <c r="K39" s="117" t="n"/>
      <c r="L39" s="117" t="n"/>
      <c r="M39" s="118" t="n"/>
      <c r="N39" s="118" t="n"/>
      <c r="O39" s="118" t="n"/>
      <c r="P39" s="118" t="n"/>
      <c r="Q39" s="114">
        <f>SUM(M39:P39)</f>
        <v/>
      </c>
      <c r="R39" s="117" t="b">
        <v>0</v>
      </c>
      <c r="S39" s="117" t="b">
        <v>0</v>
      </c>
      <c r="T39" s="117" t="b">
        <v>0</v>
      </c>
      <c r="U39" s="117" t="b">
        <v>0</v>
      </c>
      <c r="V39" s="119" t="n"/>
      <c r="W39" s="119" t="n"/>
      <c r="X39" s="119" t="n"/>
      <c r="Y39" s="120" t="n"/>
      <c r="Z39" s="120" t="n"/>
    </row>
    <row r="40" ht="19" customHeight="1">
      <c r="A40" s="110" t="n">
        <v>35</v>
      </c>
      <c r="B40" s="111" t="inlineStr">
        <is>
          <t>企業035</t>
        </is>
      </c>
      <c r="C40" s="112" t="n"/>
      <c r="D40" s="112" t="n"/>
      <c r="E40" s="112" t="inlineStr">
        <is>
          <t>1. 未着手</t>
        </is>
      </c>
      <c r="F40" s="112" t="n"/>
      <c r="G40" s="112" t="n"/>
      <c r="H40" s="112" t="n"/>
      <c r="I40" s="112" t="n"/>
      <c r="J40" s="112" t="n"/>
      <c r="K40" s="112" t="n"/>
      <c r="L40" s="112" t="n"/>
      <c r="M40" s="113" t="n"/>
      <c r="N40" s="113" t="n"/>
      <c r="O40" s="113" t="n"/>
      <c r="P40" s="113" t="n"/>
      <c r="Q40" s="114">
        <f>SUM(M40:P40)</f>
        <v/>
      </c>
      <c r="R40" s="112" t="b">
        <v>0</v>
      </c>
      <c r="S40" s="112" t="b">
        <v>0</v>
      </c>
      <c r="T40" s="112" t="b">
        <v>0</v>
      </c>
      <c r="U40" s="112" t="b">
        <v>0</v>
      </c>
      <c r="V40" s="115" t="n"/>
      <c r="W40" s="115" t="n"/>
      <c r="X40" s="115" t="n"/>
      <c r="Y40" s="116" t="n"/>
      <c r="Z40" s="116" t="n"/>
    </row>
    <row r="41" ht="19" customHeight="1">
      <c r="A41" s="110" t="n">
        <v>36</v>
      </c>
      <c r="B41" s="111" t="inlineStr">
        <is>
          <t>企業036</t>
        </is>
      </c>
      <c r="C41" s="117" t="n"/>
      <c r="D41" s="117" t="n"/>
      <c r="E41" s="117" t="inlineStr">
        <is>
          <t>1. 未着手</t>
        </is>
      </c>
      <c r="F41" s="117" t="n"/>
      <c r="G41" s="117" t="n"/>
      <c r="H41" s="117" t="n"/>
      <c r="I41" s="117" t="n"/>
      <c r="J41" s="117" t="n"/>
      <c r="K41" s="117" t="n"/>
      <c r="L41" s="117" t="n"/>
      <c r="M41" s="118" t="n"/>
      <c r="N41" s="118" t="n"/>
      <c r="O41" s="118" t="n"/>
      <c r="P41" s="118" t="n"/>
      <c r="Q41" s="114">
        <f>SUM(M41:P41)</f>
        <v/>
      </c>
      <c r="R41" s="117" t="b">
        <v>0</v>
      </c>
      <c r="S41" s="117" t="b">
        <v>0</v>
      </c>
      <c r="T41" s="117" t="b">
        <v>0</v>
      </c>
      <c r="U41" s="117" t="b">
        <v>0</v>
      </c>
      <c r="V41" s="119" t="n"/>
      <c r="W41" s="119" t="n"/>
      <c r="X41" s="119" t="n"/>
      <c r="Y41" s="120" t="n"/>
      <c r="Z41" s="120" t="n"/>
    </row>
    <row r="42" ht="19" customHeight="1">
      <c r="A42" s="110" t="n">
        <v>37</v>
      </c>
      <c r="B42" s="111" t="inlineStr">
        <is>
          <t>企業037</t>
        </is>
      </c>
      <c r="C42" s="112" t="n"/>
      <c r="D42" s="112" t="n"/>
      <c r="E42" s="112" t="inlineStr">
        <is>
          <t>1. 未着手</t>
        </is>
      </c>
      <c r="F42" s="112" t="n"/>
      <c r="G42" s="112" t="n"/>
      <c r="H42" s="112" t="n"/>
      <c r="I42" s="112" t="n"/>
      <c r="J42" s="112" t="n"/>
      <c r="K42" s="112" t="n"/>
      <c r="L42" s="112" t="n"/>
      <c r="M42" s="113" t="n"/>
      <c r="N42" s="113" t="n"/>
      <c r="O42" s="113" t="n"/>
      <c r="P42" s="113" t="n"/>
      <c r="Q42" s="114">
        <f>SUM(M42:P42)</f>
        <v/>
      </c>
      <c r="R42" s="112" t="b">
        <v>0</v>
      </c>
      <c r="S42" s="112" t="b">
        <v>0</v>
      </c>
      <c r="T42" s="112" t="b">
        <v>0</v>
      </c>
      <c r="U42" s="112" t="b">
        <v>0</v>
      </c>
      <c r="V42" s="115" t="n"/>
      <c r="W42" s="115" t="n"/>
      <c r="X42" s="115" t="n"/>
      <c r="Y42" s="116" t="n"/>
      <c r="Z42" s="116" t="n"/>
    </row>
    <row r="43" ht="19" customHeight="1">
      <c r="A43" s="110" t="n">
        <v>38</v>
      </c>
      <c r="B43" s="111" t="inlineStr">
        <is>
          <t>企業038</t>
        </is>
      </c>
      <c r="C43" s="117" t="n"/>
      <c r="D43" s="117" t="n"/>
      <c r="E43" s="117" t="inlineStr">
        <is>
          <t>1. 未着手</t>
        </is>
      </c>
      <c r="F43" s="117" t="n"/>
      <c r="G43" s="117" t="n"/>
      <c r="H43" s="117" t="n"/>
      <c r="I43" s="117" t="n"/>
      <c r="J43" s="117" t="n"/>
      <c r="K43" s="117" t="n"/>
      <c r="L43" s="117" t="n"/>
      <c r="M43" s="118" t="n"/>
      <c r="N43" s="118" t="n"/>
      <c r="O43" s="118" t="n"/>
      <c r="P43" s="118" t="n"/>
      <c r="Q43" s="114">
        <f>SUM(M43:P43)</f>
        <v/>
      </c>
      <c r="R43" s="117" t="b">
        <v>0</v>
      </c>
      <c r="S43" s="117" t="b">
        <v>0</v>
      </c>
      <c r="T43" s="117" t="b">
        <v>0</v>
      </c>
      <c r="U43" s="117" t="b">
        <v>0</v>
      </c>
      <c r="V43" s="119" t="n"/>
      <c r="W43" s="119" t="n"/>
      <c r="X43" s="119" t="n"/>
      <c r="Y43" s="120" t="n"/>
      <c r="Z43" s="120" t="n"/>
    </row>
    <row r="44" ht="19" customHeight="1">
      <c r="A44" s="110" t="n">
        <v>39</v>
      </c>
      <c r="B44" s="111" t="inlineStr">
        <is>
          <t>企業039</t>
        </is>
      </c>
      <c r="C44" s="112" t="n"/>
      <c r="D44" s="112" t="n"/>
      <c r="E44" s="112" t="inlineStr">
        <is>
          <t>1. 未着手</t>
        </is>
      </c>
      <c r="F44" s="112" t="n"/>
      <c r="G44" s="112" t="n"/>
      <c r="H44" s="112" t="n"/>
      <c r="I44" s="112" t="n"/>
      <c r="J44" s="112" t="n"/>
      <c r="K44" s="112" t="n"/>
      <c r="L44" s="112" t="n"/>
      <c r="M44" s="113" t="n"/>
      <c r="N44" s="113" t="n"/>
      <c r="O44" s="113" t="n"/>
      <c r="P44" s="113" t="n"/>
      <c r="Q44" s="114">
        <f>SUM(M44:P44)</f>
        <v/>
      </c>
      <c r="R44" s="112" t="b">
        <v>0</v>
      </c>
      <c r="S44" s="112" t="b">
        <v>0</v>
      </c>
      <c r="T44" s="112" t="b">
        <v>0</v>
      </c>
      <c r="U44" s="112" t="b">
        <v>0</v>
      </c>
      <c r="V44" s="115" t="n"/>
      <c r="W44" s="115" t="n"/>
      <c r="X44" s="115" t="n"/>
      <c r="Y44" s="116" t="n"/>
      <c r="Z44" s="116" t="n"/>
    </row>
    <row r="45" ht="19" customHeight="1">
      <c r="A45" s="110" t="n">
        <v>40</v>
      </c>
      <c r="B45" s="111" t="inlineStr">
        <is>
          <t>企業040</t>
        </is>
      </c>
      <c r="C45" s="117" t="n"/>
      <c r="D45" s="117" t="n"/>
      <c r="E45" s="117" t="inlineStr">
        <is>
          <t>1. 未着手</t>
        </is>
      </c>
      <c r="F45" s="117" t="n"/>
      <c r="G45" s="117" t="n"/>
      <c r="H45" s="117" t="n"/>
      <c r="I45" s="117" t="n"/>
      <c r="J45" s="117" t="n"/>
      <c r="K45" s="117" t="n"/>
      <c r="L45" s="117" t="n"/>
      <c r="M45" s="118" t="n"/>
      <c r="N45" s="118" t="n"/>
      <c r="O45" s="118" t="n"/>
      <c r="P45" s="118" t="n"/>
      <c r="Q45" s="114">
        <f>SUM(M45:P45)</f>
        <v/>
      </c>
      <c r="R45" s="117" t="b">
        <v>0</v>
      </c>
      <c r="S45" s="117" t="b">
        <v>0</v>
      </c>
      <c r="T45" s="117" t="b">
        <v>0</v>
      </c>
      <c r="U45" s="117" t="b">
        <v>0</v>
      </c>
      <c r="V45" s="119" t="n"/>
      <c r="W45" s="119" t="n"/>
      <c r="X45" s="119" t="n"/>
      <c r="Y45" s="120" t="n"/>
      <c r="Z45" s="120" t="n"/>
    </row>
    <row r="46" ht="19" customHeight="1">
      <c r="A46" s="110" t="n">
        <v>41</v>
      </c>
      <c r="B46" s="111" t="inlineStr">
        <is>
          <t>企業041</t>
        </is>
      </c>
      <c r="C46" s="112" t="n"/>
      <c r="D46" s="112" t="n"/>
      <c r="E46" s="112" t="inlineStr">
        <is>
          <t>1. 未着手</t>
        </is>
      </c>
      <c r="F46" s="112" t="n"/>
      <c r="G46" s="112" t="n"/>
      <c r="H46" s="112" t="n"/>
      <c r="I46" s="112" t="n"/>
      <c r="J46" s="112" t="n"/>
      <c r="K46" s="112" t="n"/>
      <c r="L46" s="112" t="n"/>
      <c r="M46" s="113" t="n"/>
      <c r="N46" s="113" t="n"/>
      <c r="O46" s="113" t="n"/>
      <c r="P46" s="113" t="n"/>
      <c r="Q46" s="114">
        <f>SUM(M46:P46)</f>
        <v/>
      </c>
      <c r="R46" s="112" t="b">
        <v>0</v>
      </c>
      <c r="S46" s="112" t="b">
        <v>0</v>
      </c>
      <c r="T46" s="112" t="b">
        <v>0</v>
      </c>
      <c r="U46" s="112" t="b">
        <v>0</v>
      </c>
      <c r="V46" s="115" t="n"/>
      <c r="W46" s="115" t="n"/>
      <c r="X46" s="115" t="n"/>
      <c r="Y46" s="116" t="n"/>
      <c r="Z46" s="116" t="n"/>
    </row>
    <row r="47" ht="19" customHeight="1">
      <c r="A47" s="110" t="n">
        <v>42</v>
      </c>
      <c r="B47" s="111" t="inlineStr">
        <is>
          <t>企業042</t>
        </is>
      </c>
      <c r="C47" s="117" t="n"/>
      <c r="D47" s="117" t="n"/>
      <c r="E47" s="117" t="inlineStr">
        <is>
          <t>1. 未着手</t>
        </is>
      </c>
      <c r="F47" s="117" t="n"/>
      <c r="G47" s="117" t="n"/>
      <c r="H47" s="117" t="n"/>
      <c r="I47" s="117" t="n"/>
      <c r="J47" s="117" t="n"/>
      <c r="K47" s="117" t="n"/>
      <c r="L47" s="117" t="n"/>
      <c r="M47" s="118" t="n"/>
      <c r="N47" s="118" t="n"/>
      <c r="O47" s="118" t="n"/>
      <c r="P47" s="118" t="n"/>
      <c r="Q47" s="114">
        <f>SUM(M47:P47)</f>
        <v/>
      </c>
      <c r="R47" s="117" t="b">
        <v>0</v>
      </c>
      <c r="S47" s="117" t="b">
        <v>0</v>
      </c>
      <c r="T47" s="117" t="b">
        <v>0</v>
      </c>
      <c r="U47" s="117" t="b">
        <v>0</v>
      </c>
      <c r="V47" s="119" t="n"/>
      <c r="W47" s="119" t="n"/>
      <c r="X47" s="119" t="n"/>
      <c r="Y47" s="120" t="n"/>
      <c r="Z47" s="120" t="n"/>
    </row>
    <row r="48" ht="19" customHeight="1">
      <c r="A48" s="110" t="n">
        <v>43</v>
      </c>
      <c r="B48" s="111" t="inlineStr">
        <is>
          <t>企業043</t>
        </is>
      </c>
      <c r="C48" s="112" t="n"/>
      <c r="D48" s="112" t="n"/>
      <c r="E48" s="112" t="inlineStr">
        <is>
          <t>1. 未着手</t>
        </is>
      </c>
      <c r="F48" s="112" t="n"/>
      <c r="G48" s="112" t="n"/>
      <c r="H48" s="112" t="n"/>
      <c r="I48" s="112" t="n"/>
      <c r="J48" s="112" t="n"/>
      <c r="K48" s="112" t="n"/>
      <c r="L48" s="112" t="n"/>
      <c r="M48" s="113" t="n"/>
      <c r="N48" s="113" t="n"/>
      <c r="O48" s="113" t="n"/>
      <c r="P48" s="113" t="n"/>
      <c r="Q48" s="114">
        <f>SUM(M48:P48)</f>
        <v/>
      </c>
      <c r="R48" s="112" t="b">
        <v>0</v>
      </c>
      <c r="S48" s="112" t="b">
        <v>0</v>
      </c>
      <c r="T48" s="112" t="b">
        <v>0</v>
      </c>
      <c r="U48" s="112" t="b">
        <v>0</v>
      </c>
      <c r="V48" s="115" t="n"/>
      <c r="W48" s="115" t="n"/>
      <c r="X48" s="115" t="n"/>
      <c r="Y48" s="116" t="n"/>
      <c r="Z48" s="116" t="n"/>
    </row>
    <row r="49" ht="19" customHeight="1">
      <c r="A49" s="110" t="n">
        <v>44</v>
      </c>
      <c r="B49" s="111" t="inlineStr">
        <is>
          <t>企業044</t>
        </is>
      </c>
      <c r="C49" s="117" t="n"/>
      <c r="D49" s="117" t="n"/>
      <c r="E49" s="117" t="inlineStr">
        <is>
          <t>1. 未着手</t>
        </is>
      </c>
      <c r="F49" s="117" t="n"/>
      <c r="G49" s="117" t="n"/>
      <c r="H49" s="117" t="n"/>
      <c r="I49" s="117" t="n"/>
      <c r="J49" s="117" t="n"/>
      <c r="K49" s="117" t="n"/>
      <c r="L49" s="117" t="n"/>
      <c r="M49" s="118" t="n"/>
      <c r="N49" s="118" t="n"/>
      <c r="O49" s="118" t="n"/>
      <c r="P49" s="118" t="n"/>
      <c r="Q49" s="114">
        <f>SUM(M49:P49)</f>
        <v/>
      </c>
      <c r="R49" s="117" t="b">
        <v>0</v>
      </c>
      <c r="S49" s="117" t="b">
        <v>0</v>
      </c>
      <c r="T49" s="117" t="b">
        <v>0</v>
      </c>
      <c r="U49" s="117" t="b">
        <v>0</v>
      </c>
      <c r="V49" s="119" t="n"/>
      <c r="W49" s="119" t="n"/>
      <c r="X49" s="119" t="n"/>
      <c r="Y49" s="120" t="n"/>
      <c r="Z49" s="120" t="n"/>
    </row>
    <row r="50" ht="19" customHeight="1">
      <c r="A50" s="110" t="n">
        <v>45</v>
      </c>
      <c r="B50" s="111" t="inlineStr">
        <is>
          <t>企業045</t>
        </is>
      </c>
      <c r="C50" s="112" t="n"/>
      <c r="D50" s="112" t="n"/>
      <c r="E50" s="112" t="inlineStr">
        <is>
          <t>1. 未着手</t>
        </is>
      </c>
      <c r="F50" s="112" t="n"/>
      <c r="G50" s="112" t="n"/>
      <c r="H50" s="112" t="n"/>
      <c r="I50" s="112" t="n"/>
      <c r="J50" s="112" t="n"/>
      <c r="K50" s="112" t="n"/>
      <c r="L50" s="112" t="n"/>
      <c r="M50" s="113" t="n"/>
      <c r="N50" s="113" t="n"/>
      <c r="O50" s="113" t="n"/>
      <c r="P50" s="113" t="n"/>
      <c r="Q50" s="114">
        <f>SUM(M50:P50)</f>
        <v/>
      </c>
      <c r="R50" s="112" t="b">
        <v>0</v>
      </c>
      <c r="S50" s="112" t="b">
        <v>0</v>
      </c>
      <c r="T50" s="112" t="b">
        <v>0</v>
      </c>
      <c r="U50" s="112" t="b">
        <v>0</v>
      </c>
      <c r="V50" s="115" t="n"/>
      <c r="W50" s="115" t="n"/>
      <c r="X50" s="115" t="n"/>
      <c r="Y50" s="116" t="n"/>
      <c r="Z50" s="116" t="n"/>
    </row>
    <row r="51" ht="19" customHeight="1">
      <c r="A51" s="110" t="n">
        <v>46</v>
      </c>
      <c r="B51" s="111" t="inlineStr">
        <is>
          <t>企業046</t>
        </is>
      </c>
      <c r="C51" s="117" t="n"/>
      <c r="D51" s="117" t="n"/>
      <c r="E51" s="117" t="inlineStr">
        <is>
          <t>1. 未着手</t>
        </is>
      </c>
      <c r="F51" s="117" t="n"/>
      <c r="G51" s="117" t="n"/>
      <c r="H51" s="117" t="n"/>
      <c r="I51" s="117" t="n"/>
      <c r="J51" s="117" t="n"/>
      <c r="K51" s="117" t="n"/>
      <c r="L51" s="117" t="n"/>
      <c r="M51" s="118" t="n"/>
      <c r="N51" s="118" t="n"/>
      <c r="O51" s="118" t="n"/>
      <c r="P51" s="118" t="n"/>
      <c r="Q51" s="114">
        <f>SUM(M51:P51)</f>
        <v/>
      </c>
      <c r="R51" s="117" t="b">
        <v>0</v>
      </c>
      <c r="S51" s="117" t="b">
        <v>0</v>
      </c>
      <c r="T51" s="117" t="b">
        <v>0</v>
      </c>
      <c r="U51" s="117" t="b">
        <v>0</v>
      </c>
      <c r="V51" s="119" t="n"/>
      <c r="W51" s="119" t="n"/>
      <c r="X51" s="119" t="n"/>
      <c r="Y51" s="120" t="n"/>
      <c r="Z51" s="120" t="n"/>
    </row>
    <row r="52" ht="19" customHeight="1">
      <c r="A52" s="110" t="n">
        <v>47</v>
      </c>
      <c r="B52" s="111" t="inlineStr">
        <is>
          <t>企業047</t>
        </is>
      </c>
      <c r="C52" s="112" t="n"/>
      <c r="D52" s="112" t="n"/>
      <c r="E52" s="112" t="inlineStr">
        <is>
          <t>1. 未着手</t>
        </is>
      </c>
      <c r="F52" s="112" t="n"/>
      <c r="G52" s="112" t="n"/>
      <c r="H52" s="112" t="n"/>
      <c r="I52" s="112" t="n"/>
      <c r="J52" s="112" t="n"/>
      <c r="K52" s="112" t="n"/>
      <c r="L52" s="112" t="n"/>
      <c r="M52" s="113" t="n"/>
      <c r="N52" s="113" t="n"/>
      <c r="O52" s="113" t="n"/>
      <c r="P52" s="113" t="n"/>
      <c r="Q52" s="114">
        <f>SUM(M52:P52)</f>
        <v/>
      </c>
      <c r="R52" s="112" t="b">
        <v>0</v>
      </c>
      <c r="S52" s="112" t="b">
        <v>0</v>
      </c>
      <c r="T52" s="112" t="b">
        <v>0</v>
      </c>
      <c r="U52" s="112" t="b">
        <v>0</v>
      </c>
      <c r="V52" s="115" t="n"/>
      <c r="W52" s="115" t="n"/>
      <c r="X52" s="115" t="n"/>
      <c r="Y52" s="116" t="n"/>
      <c r="Z52" s="116" t="n"/>
    </row>
    <row r="53" ht="19" customHeight="1">
      <c r="A53" s="110" t="n">
        <v>48</v>
      </c>
      <c r="B53" s="111" t="inlineStr">
        <is>
          <t>企業048</t>
        </is>
      </c>
      <c r="C53" s="117" t="n"/>
      <c r="D53" s="117" t="n"/>
      <c r="E53" s="117" t="inlineStr">
        <is>
          <t>1. 未着手</t>
        </is>
      </c>
      <c r="F53" s="117" t="n"/>
      <c r="G53" s="117" t="n"/>
      <c r="H53" s="117" t="n"/>
      <c r="I53" s="117" t="n"/>
      <c r="J53" s="117" t="n"/>
      <c r="K53" s="117" t="n"/>
      <c r="L53" s="117" t="n"/>
      <c r="M53" s="118" t="n"/>
      <c r="N53" s="118" t="n"/>
      <c r="O53" s="118" t="n"/>
      <c r="P53" s="118" t="n"/>
      <c r="Q53" s="114">
        <f>SUM(M53:P53)</f>
        <v/>
      </c>
      <c r="R53" s="117" t="b">
        <v>0</v>
      </c>
      <c r="S53" s="117" t="b">
        <v>0</v>
      </c>
      <c r="T53" s="117" t="b">
        <v>0</v>
      </c>
      <c r="U53" s="117" t="b">
        <v>0</v>
      </c>
      <c r="V53" s="119" t="n"/>
      <c r="W53" s="119" t="n"/>
      <c r="X53" s="119" t="n"/>
      <c r="Y53" s="120" t="n"/>
      <c r="Z53" s="120" t="n"/>
    </row>
    <row r="54" ht="19" customHeight="1">
      <c r="A54" s="110" t="n">
        <v>49</v>
      </c>
      <c r="B54" s="111" t="inlineStr">
        <is>
          <t>企業049</t>
        </is>
      </c>
      <c r="C54" s="112" t="n"/>
      <c r="D54" s="112" t="n"/>
      <c r="E54" s="112" t="inlineStr">
        <is>
          <t>1. 未着手</t>
        </is>
      </c>
      <c r="F54" s="112" t="n"/>
      <c r="G54" s="112" t="n"/>
      <c r="H54" s="112" t="n"/>
      <c r="I54" s="112" t="n"/>
      <c r="J54" s="112" t="n"/>
      <c r="K54" s="112" t="n"/>
      <c r="L54" s="112" t="n"/>
      <c r="M54" s="113" t="n"/>
      <c r="N54" s="113" t="n"/>
      <c r="O54" s="113" t="n"/>
      <c r="P54" s="113" t="n"/>
      <c r="Q54" s="114">
        <f>SUM(M54:P54)</f>
        <v/>
      </c>
      <c r="R54" s="112" t="b">
        <v>0</v>
      </c>
      <c r="S54" s="112" t="b">
        <v>0</v>
      </c>
      <c r="T54" s="112" t="b">
        <v>0</v>
      </c>
      <c r="U54" s="112" t="b">
        <v>0</v>
      </c>
      <c r="V54" s="115" t="n"/>
      <c r="W54" s="115" t="n"/>
      <c r="X54" s="115" t="n"/>
      <c r="Y54" s="116" t="n"/>
      <c r="Z54" s="116" t="n"/>
    </row>
    <row r="55" ht="19" customHeight="1">
      <c r="A55" s="110" t="n">
        <v>50</v>
      </c>
      <c r="B55" s="111" t="inlineStr">
        <is>
          <t>企業050</t>
        </is>
      </c>
      <c r="C55" s="117" t="n"/>
      <c r="D55" s="117" t="n"/>
      <c r="E55" s="117" t="inlineStr">
        <is>
          <t>1. 未着手</t>
        </is>
      </c>
      <c r="F55" s="117" t="n"/>
      <c r="G55" s="117" t="n"/>
      <c r="H55" s="117" t="n"/>
      <c r="I55" s="117" t="n"/>
      <c r="J55" s="117" t="n"/>
      <c r="K55" s="117" t="n"/>
      <c r="L55" s="117" t="n"/>
      <c r="M55" s="118" t="n"/>
      <c r="N55" s="118" t="n"/>
      <c r="O55" s="118" t="n"/>
      <c r="P55" s="118" t="n"/>
      <c r="Q55" s="114">
        <f>SUM(M55:P55)</f>
        <v/>
      </c>
      <c r="R55" s="117" t="b">
        <v>0</v>
      </c>
      <c r="S55" s="117" t="b">
        <v>0</v>
      </c>
      <c r="T55" s="117" t="b">
        <v>0</v>
      </c>
      <c r="U55" s="117" t="b">
        <v>0</v>
      </c>
      <c r="V55" s="119" t="n"/>
      <c r="W55" s="119" t="n"/>
      <c r="X55" s="119" t="n"/>
      <c r="Y55" s="120" t="n"/>
      <c r="Z55" s="120" t="n"/>
    </row>
    <row r="56" ht="19" customHeight="1">
      <c r="A56" s="110" t="n">
        <v>51</v>
      </c>
      <c r="B56" s="111" t="inlineStr">
        <is>
          <t>企業051</t>
        </is>
      </c>
      <c r="C56" s="112" t="n"/>
      <c r="D56" s="112" t="n"/>
      <c r="E56" s="112" t="inlineStr">
        <is>
          <t>1. 未着手</t>
        </is>
      </c>
      <c r="F56" s="112" t="n"/>
      <c r="G56" s="112" t="n"/>
      <c r="H56" s="112" t="n"/>
      <c r="I56" s="112" t="n"/>
      <c r="J56" s="112" t="n"/>
      <c r="K56" s="112" t="n"/>
      <c r="L56" s="112" t="n"/>
      <c r="M56" s="113" t="n"/>
      <c r="N56" s="113" t="n"/>
      <c r="O56" s="113" t="n"/>
      <c r="P56" s="113" t="n"/>
      <c r="Q56" s="114">
        <f>SUM(M56:P56)</f>
        <v/>
      </c>
      <c r="R56" s="112" t="b">
        <v>0</v>
      </c>
      <c r="S56" s="112" t="b">
        <v>0</v>
      </c>
      <c r="T56" s="112" t="b">
        <v>0</v>
      </c>
      <c r="U56" s="112" t="b">
        <v>0</v>
      </c>
      <c r="V56" s="115" t="n"/>
      <c r="W56" s="115" t="n"/>
      <c r="X56" s="115" t="n"/>
      <c r="Y56" s="116" t="n"/>
      <c r="Z56" s="116" t="n"/>
    </row>
    <row r="57" ht="19" customHeight="1">
      <c r="A57" s="110" t="n">
        <v>52</v>
      </c>
      <c r="B57" s="111" t="inlineStr">
        <is>
          <t>企業052</t>
        </is>
      </c>
      <c r="C57" s="117" t="n"/>
      <c r="D57" s="117" t="n"/>
      <c r="E57" s="117" t="inlineStr">
        <is>
          <t>1. 未着手</t>
        </is>
      </c>
      <c r="F57" s="117" t="n"/>
      <c r="G57" s="117" t="n"/>
      <c r="H57" s="117" t="n"/>
      <c r="I57" s="117" t="n"/>
      <c r="J57" s="117" t="n"/>
      <c r="K57" s="117" t="n"/>
      <c r="L57" s="117" t="n"/>
      <c r="M57" s="118" t="n"/>
      <c r="N57" s="118" t="n"/>
      <c r="O57" s="118" t="n"/>
      <c r="P57" s="118" t="n"/>
      <c r="Q57" s="114">
        <f>SUM(M57:P57)</f>
        <v/>
      </c>
      <c r="R57" s="117" t="b">
        <v>0</v>
      </c>
      <c r="S57" s="117" t="b">
        <v>0</v>
      </c>
      <c r="T57" s="117" t="b">
        <v>0</v>
      </c>
      <c r="U57" s="117" t="b">
        <v>0</v>
      </c>
      <c r="V57" s="119" t="n"/>
      <c r="W57" s="119" t="n"/>
      <c r="X57" s="119" t="n"/>
      <c r="Y57" s="120" t="n"/>
      <c r="Z57" s="120" t="n"/>
    </row>
    <row r="58" ht="19" customHeight="1">
      <c r="A58" s="110" t="n">
        <v>53</v>
      </c>
      <c r="B58" s="111" t="inlineStr">
        <is>
          <t>企業053</t>
        </is>
      </c>
      <c r="C58" s="112" t="n"/>
      <c r="D58" s="112" t="n"/>
      <c r="E58" s="112" t="inlineStr">
        <is>
          <t>1. 未着手</t>
        </is>
      </c>
      <c r="F58" s="112" t="n"/>
      <c r="G58" s="112" t="n"/>
      <c r="H58" s="112" t="n"/>
      <c r="I58" s="112" t="n"/>
      <c r="J58" s="112" t="n"/>
      <c r="K58" s="112" t="n"/>
      <c r="L58" s="112" t="n"/>
      <c r="M58" s="113" t="n"/>
      <c r="N58" s="113" t="n"/>
      <c r="O58" s="113" t="n"/>
      <c r="P58" s="113" t="n"/>
      <c r="Q58" s="114">
        <f>SUM(M58:P58)</f>
        <v/>
      </c>
      <c r="R58" s="112" t="b">
        <v>0</v>
      </c>
      <c r="S58" s="112" t="b">
        <v>0</v>
      </c>
      <c r="T58" s="112" t="b">
        <v>0</v>
      </c>
      <c r="U58" s="112" t="b">
        <v>0</v>
      </c>
      <c r="V58" s="115" t="n"/>
      <c r="W58" s="115" t="n"/>
      <c r="X58" s="115" t="n"/>
      <c r="Y58" s="116" t="n"/>
      <c r="Z58" s="116" t="n"/>
    </row>
    <row r="59" ht="19" customHeight="1">
      <c r="A59" s="110" t="n">
        <v>54</v>
      </c>
      <c r="B59" s="111" t="inlineStr">
        <is>
          <t>企業054</t>
        </is>
      </c>
      <c r="C59" s="117" t="n"/>
      <c r="D59" s="117" t="n"/>
      <c r="E59" s="117" t="inlineStr">
        <is>
          <t>1. 未着手</t>
        </is>
      </c>
      <c r="F59" s="117" t="n"/>
      <c r="G59" s="117" t="n"/>
      <c r="H59" s="117" t="n"/>
      <c r="I59" s="117" t="n"/>
      <c r="J59" s="117" t="n"/>
      <c r="K59" s="117" t="n"/>
      <c r="L59" s="117" t="n"/>
      <c r="M59" s="118" t="n"/>
      <c r="N59" s="118" t="n"/>
      <c r="O59" s="118" t="n"/>
      <c r="P59" s="118" t="n"/>
      <c r="Q59" s="114">
        <f>SUM(M59:P59)</f>
        <v/>
      </c>
      <c r="R59" s="117" t="b">
        <v>0</v>
      </c>
      <c r="S59" s="117" t="b">
        <v>0</v>
      </c>
      <c r="T59" s="117" t="b">
        <v>0</v>
      </c>
      <c r="U59" s="117" t="b">
        <v>0</v>
      </c>
      <c r="V59" s="119" t="n"/>
      <c r="W59" s="119" t="n"/>
      <c r="X59" s="119" t="n"/>
      <c r="Y59" s="120" t="n"/>
      <c r="Z59" s="120" t="n"/>
    </row>
    <row r="60" ht="19" customHeight="1">
      <c r="A60" s="110" t="n">
        <v>55</v>
      </c>
      <c r="B60" s="111" t="inlineStr">
        <is>
          <t>企業055</t>
        </is>
      </c>
      <c r="C60" s="112" t="n"/>
      <c r="D60" s="112" t="n"/>
      <c r="E60" s="112" t="inlineStr">
        <is>
          <t>1. 未着手</t>
        </is>
      </c>
      <c r="F60" s="112" t="n"/>
      <c r="G60" s="112" t="n"/>
      <c r="H60" s="112" t="n"/>
      <c r="I60" s="112" t="n"/>
      <c r="J60" s="112" t="n"/>
      <c r="K60" s="112" t="n"/>
      <c r="L60" s="112" t="n"/>
      <c r="M60" s="113" t="n"/>
      <c r="N60" s="113" t="n"/>
      <c r="O60" s="113" t="n"/>
      <c r="P60" s="113" t="n"/>
      <c r="Q60" s="114">
        <f>SUM(M60:P60)</f>
        <v/>
      </c>
      <c r="R60" s="112" t="b">
        <v>0</v>
      </c>
      <c r="S60" s="112" t="b">
        <v>0</v>
      </c>
      <c r="T60" s="112" t="b">
        <v>0</v>
      </c>
      <c r="U60" s="112" t="b">
        <v>0</v>
      </c>
      <c r="V60" s="115" t="n"/>
      <c r="W60" s="115" t="n"/>
      <c r="X60" s="115" t="n"/>
      <c r="Y60" s="116" t="n"/>
      <c r="Z60" s="116" t="n"/>
    </row>
    <row r="61" ht="19" customHeight="1">
      <c r="A61" s="110" t="n">
        <v>56</v>
      </c>
      <c r="B61" s="111" t="inlineStr">
        <is>
          <t>企業056</t>
        </is>
      </c>
      <c r="C61" s="117" t="n"/>
      <c r="D61" s="117" t="n"/>
      <c r="E61" s="117" t="inlineStr">
        <is>
          <t>1. 未着手</t>
        </is>
      </c>
      <c r="F61" s="117" t="n"/>
      <c r="G61" s="117" t="n"/>
      <c r="H61" s="117" t="n"/>
      <c r="I61" s="117" t="n"/>
      <c r="J61" s="117" t="n"/>
      <c r="K61" s="117" t="n"/>
      <c r="L61" s="117" t="n"/>
      <c r="M61" s="118" t="n"/>
      <c r="N61" s="118" t="n"/>
      <c r="O61" s="118" t="n"/>
      <c r="P61" s="118" t="n"/>
      <c r="Q61" s="114">
        <f>SUM(M61:P61)</f>
        <v/>
      </c>
      <c r="R61" s="117" t="b">
        <v>0</v>
      </c>
      <c r="S61" s="117" t="b">
        <v>0</v>
      </c>
      <c r="T61" s="117" t="b">
        <v>0</v>
      </c>
      <c r="U61" s="117" t="b">
        <v>0</v>
      </c>
      <c r="V61" s="119" t="n"/>
      <c r="W61" s="119" t="n"/>
      <c r="X61" s="119" t="n"/>
      <c r="Y61" s="120" t="n"/>
      <c r="Z61" s="120" t="n"/>
    </row>
    <row r="62" ht="19" customHeight="1">
      <c r="A62" s="110" t="n">
        <v>57</v>
      </c>
      <c r="B62" s="111" t="inlineStr">
        <is>
          <t>企業057</t>
        </is>
      </c>
      <c r="C62" s="112" t="n"/>
      <c r="D62" s="112" t="n"/>
      <c r="E62" s="112" t="inlineStr">
        <is>
          <t>1. 未着手</t>
        </is>
      </c>
      <c r="F62" s="112" t="n"/>
      <c r="G62" s="112" t="n"/>
      <c r="H62" s="112" t="n"/>
      <c r="I62" s="112" t="n"/>
      <c r="J62" s="112" t="n"/>
      <c r="K62" s="112" t="n"/>
      <c r="L62" s="112" t="n"/>
      <c r="M62" s="113" t="n"/>
      <c r="N62" s="113" t="n"/>
      <c r="O62" s="113" t="n"/>
      <c r="P62" s="113" t="n"/>
      <c r="Q62" s="114">
        <f>SUM(M62:P62)</f>
        <v/>
      </c>
      <c r="R62" s="112" t="b">
        <v>0</v>
      </c>
      <c r="S62" s="112" t="b">
        <v>0</v>
      </c>
      <c r="T62" s="112" t="b">
        <v>0</v>
      </c>
      <c r="U62" s="112" t="b">
        <v>0</v>
      </c>
      <c r="V62" s="115" t="n"/>
      <c r="W62" s="115" t="n"/>
      <c r="X62" s="115" t="n"/>
      <c r="Y62" s="116" t="n"/>
      <c r="Z62" s="116" t="n"/>
    </row>
    <row r="63" ht="19" customHeight="1">
      <c r="A63" s="110" t="n">
        <v>58</v>
      </c>
      <c r="B63" s="111" t="inlineStr">
        <is>
          <t>企業058</t>
        </is>
      </c>
      <c r="C63" s="117" t="n"/>
      <c r="D63" s="117" t="n"/>
      <c r="E63" s="117" t="inlineStr">
        <is>
          <t>1. 未着手</t>
        </is>
      </c>
      <c r="F63" s="117" t="n"/>
      <c r="G63" s="117" t="n"/>
      <c r="H63" s="117" t="n"/>
      <c r="I63" s="117" t="n"/>
      <c r="J63" s="117" t="n"/>
      <c r="K63" s="117" t="n"/>
      <c r="L63" s="117" t="n"/>
      <c r="M63" s="118" t="n"/>
      <c r="N63" s="118" t="n"/>
      <c r="O63" s="118" t="n"/>
      <c r="P63" s="118" t="n"/>
      <c r="Q63" s="114">
        <f>SUM(M63:P63)</f>
        <v/>
      </c>
      <c r="R63" s="117" t="b">
        <v>0</v>
      </c>
      <c r="S63" s="117" t="b">
        <v>0</v>
      </c>
      <c r="T63" s="117" t="b">
        <v>0</v>
      </c>
      <c r="U63" s="117" t="b">
        <v>0</v>
      </c>
      <c r="V63" s="119" t="n"/>
      <c r="W63" s="119" t="n"/>
      <c r="X63" s="119" t="n"/>
      <c r="Y63" s="120" t="n"/>
      <c r="Z63" s="120" t="n"/>
    </row>
    <row r="64" ht="19" customHeight="1">
      <c r="A64" s="110" t="n">
        <v>59</v>
      </c>
      <c r="B64" s="111" t="inlineStr">
        <is>
          <t>企業059</t>
        </is>
      </c>
      <c r="C64" s="112" t="n"/>
      <c r="D64" s="112" t="n"/>
      <c r="E64" s="112" t="inlineStr">
        <is>
          <t>1. 未着手</t>
        </is>
      </c>
      <c r="F64" s="112" t="n"/>
      <c r="G64" s="112" t="n"/>
      <c r="H64" s="112" t="n"/>
      <c r="I64" s="112" t="n"/>
      <c r="J64" s="112" t="n"/>
      <c r="K64" s="112" t="n"/>
      <c r="L64" s="112" t="n"/>
      <c r="M64" s="113" t="n"/>
      <c r="N64" s="113" t="n"/>
      <c r="O64" s="113" t="n"/>
      <c r="P64" s="113" t="n"/>
      <c r="Q64" s="114">
        <f>SUM(M64:P64)</f>
        <v/>
      </c>
      <c r="R64" s="112" t="b">
        <v>0</v>
      </c>
      <c r="S64" s="112" t="b">
        <v>0</v>
      </c>
      <c r="T64" s="112" t="b">
        <v>0</v>
      </c>
      <c r="U64" s="112" t="b">
        <v>0</v>
      </c>
      <c r="V64" s="115" t="n"/>
      <c r="W64" s="115" t="n"/>
      <c r="X64" s="115" t="n"/>
      <c r="Y64" s="116" t="n"/>
      <c r="Z64" s="116" t="n"/>
    </row>
    <row r="65" ht="19" customHeight="1">
      <c r="A65" s="110" t="n">
        <v>60</v>
      </c>
      <c r="B65" s="111" t="inlineStr">
        <is>
          <t>企業060</t>
        </is>
      </c>
      <c r="C65" s="117" t="n"/>
      <c r="D65" s="117" t="n"/>
      <c r="E65" s="117" t="inlineStr">
        <is>
          <t>1. 未着手</t>
        </is>
      </c>
      <c r="F65" s="117" t="n"/>
      <c r="G65" s="117" t="n"/>
      <c r="H65" s="117" t="n"/>
      <c r="I65" s="117" t="n"/>
      <c r="J65" s="117" t="n"/>
      <c r="K65" s="117" t="n"/>
      <c r="L65" s="117" t="n"/>
      <c r="M65" s="118" t="n"/>
      <c r="N65" s="118" t="n"/>
      <c r="O65" s="118" t="n"/>
      <c r="P65" s="118" t="n"/>
      <c r="Q65" s="114">
        <f>SUM(M65:P65)</f>
        <v/>
      </c>
      <c r="R65" s="117" t="b">
        <v>0</v>
      </c>
      <c r="S65" s="117" t="b">
        <v>0</v>
      </c>
      <c r="T65" s="117" t="b">
        <v>0</v>
      </c>
      <c r="U65" s="117" t="b">
        <v>0</v>
      </c>
      <c r="V65" s="119" t="n"/>
      <c r="W65" s="119" t="n"/>
      <c r="X65" s="119" t="n"/>
      <c r="Y65" s="120" t="n"/>
      <c r="Z65" s="120" t="n"/>
    </row>
    <row r="66" ht="19" customHeight="1">
      <c r="A66" s="110" t="n">
        <v>61</v>
      </c>
      <c r="B66" s="111" t="inlineStr">
        <is>
          <t>企業061</t>
        </is>
      </c>
      <c r="C66" s="112" t="n"/>
      <c r="D66" s="112" t="n"/>
      <c r="E66" s="112" t="inlineStr">
        <is>
          <t>1. 未着手</t>
        </is>
      </c>
      <c r="F66" s="112" t="n"/>
      <c r="G66" s="112" t="n"/>
      <c r="H66" s="112" t="n"/>
      <c r="I66" s="112" t="n"/>
      <c r="J66" s="112" t="n"/>
      <c r="K66" s="112" t="n"/>
      <c r="L66" s="112" t="n"/>
      <c r="M66" s="113" t="n"/>
      <c r="N66" s="113" t="n"/>
      <c r="O66" s="113" t="n"/>
      <c r="P66" s="113" t="n"/>
      <c r="Q66" s="114">
        <f>SUM(M66:P66)</f>
        <v/>
      </c>
      <c r="R66" s="112" t="b">
        <v>0</v>
      </c>
      <c r="S66" s="112" t="b">
        <v>0</v>
      </c>
      <c r="T66" s="112" t="b">
        <v>0</v>
      </c>
      <c r="U66" s="112" t="b">
        <v>0</v>
      </c>
      <c r="V66" s="115" t="n"/>
      <c r="W66" s="115" t="n"/>
      <c r="X66" s="115" t="n"/>
      <c r="Y66" s="116" t="n"/>
      <c r="Z66" s="116" t="n"/>
    </row>
    <row r="67" ht="19" customHeight="1">
      <c r="A67" s="110" t="n">
        <v>62</v>
      </c>
      <c r="B67" s="111" t="inlineStr">
        <is>
          <t>企業062</t>
        </is>
      </c>
      <c r="C67" s="117" t="n"/>
      <c r="D67" s="117" t="n"/>
      <c r="E67" s="117" t="inlineStr">
        <is>
          <t>1. 未着手</t>
        </is>
      </c>
      <c r="F67" s="117" t="n"/>
      <c r="G67" s="117" t="n"/>
      <c r="H67" s="117" t="n"/>
      <c r="I67" s="117" t="n"/>
      <c r="J67" s="117" t="n"/>
      <c r="K67" s="117" t="n"/>
      <c r="L67" s="117" t="n"/>
      <c r="M67" s="118" t="n"/>
      <c r="N67" s="118" t="n"/>
      <c r="O67" s="118" t="n"/>
      <c r="P67" s="118" t="n"/>
      <c r="Q67" s="114">
        <f>SUM(M67:P67)</f>
        <v/>
      </c>
      <c r="R67" s="117" t="b">
        <v>0</v>
      </c>
      <c r="S67" s="117" t="b">
        <v>0</v>
      </c>
      <c r="T67" s="117" t="b">
        <v>0</v>
      </c>
      <c r="U67" s="117" t="b">
        <v>0</v>
      </c>
      <c r="V67" s="119" t="n"/>
      <c r="W67" s="119" t="n"/>
      <c r="X67" s="119" t="n"/>
      <c r="Y67" s="120" t="n"/>
      <c r="Z67" s="120" t="n"/>
    </row>
    <row r="68" ht="19" customHeight="1">
      <c r="A68" s="110" t="n">
        <v>63</v>
      </c>
      <c r="B68" s="111" t="inlineStr">
        <is>
          <t>企業063</t>
        </is>
      </c>
      <c r="C68" s="112" t="n"/>
      <c r="D68" s="112" t="n"/>
      <c r="E68" s="112" t="inlineStr">
        <is>
          <t>1. 未着手</t>
        </is>
      </c>
      <c r="F68" s="112" t="n"/>
      <c r="G68" s="112" t="n"/>
      <c r="H68" s="112" t="n"/>
      <c r="I68" s="112" t="n"/>
      <c r="J68" s="112" t="n"/>
      <c r="K68" s="112" t="n"/>
      <c r="L68" s="112" t="n"/>
      <c r="M68" s="113" t="n"/>
      <c r="N68" s="113" t="n"/>
      <c r="O68" s="113" t="n"/>
      <c r="P68" s="113" t="n"/>
      <c r="Q68" s="114">
        <f>SUM(M68:P68)</f>
        <v/>
      </c>
      <c r="R68" s="112" t="b">
        <v>0</v>
      </c>
      <c r="S68" s="112" t="b">
        <v>0</v>
      </c>
      <c r="T68" s="112" t="b">
        <v>0</v>
      </c>
      <c r="U68" s="112" t="b">
        <v>0</v>
      </c>
      <c r="V68" s="115" t="n"/>
      <c r="W68" s="115" t="n"/>
      <c r="X68" s="115" t="n"/>
      <c r="Y68" s="116" t="n"/>
      <c r="Z68" s="116" t="n"/>
    </row>
    <row r="69" ht="19" customHeight="1">
      <c r="A69" s="110" t="n">
        <v>64</v>
      </c>
      <c r="B69" s="111" t="inlineStr">
        <is>
          <t>企業064</t>
        </is>
      </c>
      <c r="C69" s="117" t="n"/>
      <c r="D69" s="117" t="n"/>
      <c r="E69" s="117" t="inlineStr">
        <is>
          <t>1. 未着手</t>
        </is>
      </c>
      <c r="F69" s="117" t="n"/>
      <c r="G69" s="117" t="n"/>
      <c r="H69" s="117" t="n"/>
      <c r="I69" s="117" t="n"/>
      <c r="J69" s="117" t="n"/>
      <c r="K69" s="117" t="n"/>
      <c r="L69" s="117" t="n"/>
      <c r="M69" s="118" t="n"/>
      <c r="N69" s="118" t="n"/>
      <c r="O69" s="118" t="n"/>
      <c r="P69" s="118" t="n"/>
      <c r="Q69" s="114">
        <f>SUM(M69:P69)</f>
        <v/>
      </c>
      <c r="R69" s="117" t="b">
        <v>0</v>
      </c>
      <c r="S69" s="117" t="b">
        <v>0</v>
      </c>
      <c r="T69" s="117" t="b">
        <v>0</v>
      </c>
      <c r="U69" s="117" t="b">
        <v>0</v>
      </c>
      <c r="V69" s="119" t="n"/>
      <c r="W69" s="119" t="n"/>
      <c r="X69" s="119" t="n"/>
      <c r="Y69" s="120" t="n"/>
      <c r="Z69" s="120" t="n"/>
    </row>
    <row r="70" ht="19" customHeight="1">
      <c r="A70" s="110" t="n">
        <v>65</v>
      </c>
      <c r="B70" s="111" t="inlineStr">
        <is>
          <t>企業065</t>
        </is>
      </c>
      <c r="C70" s="112" t="n"/>
      <c r="D70" s="112" t="n"/>
      <c r="E70" s="112" t="inlineStr">
        <is>
          <t>1. 未着手</t>
        </is>
      </c>
      <c r="F70" s="112" t="n"/>
      <c r="G70" s="112" t="n"/>
      <c r="H70" s="112" t="n"/>
      <c r="I70" s="112" t="n"/>
      <c r="J70" s="112" t="n"/>
      <c r="K70" s="112" t="n"/>
      <c r="L70" s="112" t="n"/>
      <c r="M70" s="113" t="n"/>
      <c r="N70" s="113" t="n"/>
      <c r="O70" s="113" t="n"/>
      <c r="P70" s="113" t="n"/>
      <c r="Q70" s="114">
        <f>SUM(M70:P70)</f>
        <v/>
      </c>
      <c r="R70" s="112" t="b">
        <v>0</v>
      </c>
      <c r="S70" s="112" t="b">
        <v>0</v>
      </c>
      <c r="T70" s="112" t="b">
        <v>0</v>
      </c>
      <c r="U70" s="112" t="b">
        <v>0</v>
      </c>
      <c r="V70" s="115" t="n"/>
      <c r="W70" s="115" t="n"/>
      <c r="X70" s="115" t="n"/>
      <c r="Y70" s="116" t="n"/>
      <c r="Z70" s="116" t="n"/>
    </row>
    <row r="71" ht="19" customHeight="1">
      <c r="A71" s="110" t="n">
        <v>66</v>
      </c>
      <c r="B71" s="111" t="inlineStr">
        <is>
          <t>企業066</t>
        </is>
      </c>
      <c r="C71" s="117" t="n"/>
      <c r="D71" s="117" t="n"/>
      <c r="E71" s="117" t="inlineStr">
        <is>
          <t>1. 未着手</t>
        </is>
      </c>
      <c r="F71" s="117" t="n"/>
      <c r="G71" s="117" t="n"/>
      <c r="H71" s="117" t="n"/>
      <c r="I71" s="117" t="n"/>
      <c r="J71" s="117" t="n"/>
      <c r="K71" s="117" t="n"/>
      <c r="L71" s="117" t="n"/>
      <c r="M71" s="118" t="n"/>
      <c r="N71" s="118" t="n"/>
      <c r="O71" s="118" t="n"/>
      <c r="P71" s="118" t="n"/>
      <c r="Q71" s="114">
        <f>SUM(M71:P71)</f>
        <v/>
      </c>
      <c r="R71" s="117" t="b">
        <v>0</v>
      </c>
      <c r="S71" s="117" t="b">
        <v>0</v>
      </c>
      <c r="T71" s="117" t="b">
        <v>0</v>
      </c>
      <c r="U71" s="117" t="b">
        <v>0</v>
      </c>
      <c r="V71" s="119" t="n"/>
      <c r="W71" s="119" t="n"/>
      <c r="X71" s="119" t="n"/>
      <c r="Y71" s="120" t="n"/>
      <c r="Z71" s="120" t="n"/>
    </row>
    <row r="72" ht="19" customHeight="1">
      <c r="A72" s="110" t="n">
        <v>67</v>
      </c>
      <c r="B72" s="111" t="inlineStr">
        <is>
          <t>企業067</t>
        </is>
      </c>
      <c r="C72" s="112" t="n"/>
      <c r="D72" s="112" t="n"/>
      <c r="E72" s="112" t="inlineStr">
        <is>
          <t>1. 未着手</t>
        </is>
      </c>
      <c r="F72" s="112" t="n"/>
      <c r="G72" s="112" t="n"/>
      <c r="H72" s="112" t="n"/>
      <c r="I72" s="112" t="n"/>
      <c r="J72" s="112" t="n"/>
      <c r="K72" s="112" t="n"/>
      <c r="L72" s="112" t="n"/>
      <c r="M72" s="113" t="n"/>
      <c r="N72" s="113" t="n"/>
      <c r="O72" s="113" t="n"/>
      <c r="P72" s="113" t="n"/>
      <c r="Q72" s="114">
        <f>SUM(M72:P72)</f>
        <v/>
      </c>
      <c r="R72" s="112" t="b">
        <v>0</v>
      </c>
      <c r="S72" s="112" t="b">
        <v>0</v>
      </c>
      <c r="T72" s="112" t="b">
        <v>0</v>
      </c>
      <c r="U72" s="112" t="b">
        <v>0</v>
      </c>
      <c r="V72" s="115" t="n"/>
      <c r="W72" s="115" t="n"/>
      <c r="X72" s="115" t="n"/>
      <c r="Y72" s="116" t="n"/>
      <c r="Z72" s="116" t="n"/>
    </row>
    <row r="73" ht="19" customHeight="1">
      <c r="A73" s="110" t="n">
        <v>68</v>
      </c>
      <c r="B73" s="111" t="inlineStr">
        <is>
          <t>企業068</t>
        </is>
      </c>
      <c r="C73" s="117" t="n"/>
      <c r="D73" s="117" t="n"/>
      <c r="E73" s="117" t="inlineStr">
        <is>
          <t>1. 未着手</t>
        </is>
      </c>
      <c r="F73" s="117" t="n"/>
      <c r="G73" s="117" t="n"/>
      <c r="H73" s="117" t="n"/>
      <c r="I73" s="117" t="n"/>
      <c r="J73" s="117" t="n"/>
      <c r="K73" s="117" t="n"/>
      <c r="L73" s="117" t="n"/>
      <c r="M73" s="118" t="n"/>
      <c r="N73" s="118" t="n"/>
      <c r="O73" s="118" t="n"/>
      <c r="P73" s="118" t="n"/>
      <c r="Q73" s="114">
        <f>SUM(M73:P73)</f>
        <v/>
      </c>
      <c r="R73" s="117" t="b">
        <v>0</v>
      </c>
      <c r="S73" s="117" t="b">
        <v>0</v>
      </c>
      <c r="T73" s="117" t="b">
        <v>0</v>
      </c>
      <c r="U73" s="117" t="b">
        <v>0</v>
      </c>
      <c r="V73" s="119" t="n"/>
      <c r="W73" s="119" t="n"/>
      <c r="X73" s="119" t="n"/>
      <c r="Y73" s="120" t="n"/>
      <c r="Z73" s="120" t="n"/>
    </row>
    <row r="74" ht="19" customHeight="1">
      <c r="A74" s="110" t="n">
        <v>69</v>
      </c>
      <c r="B74" s="111" t="inlineStr">
        <is>
          <t>企業069</t>
        </is>
      </c>
      <c r="C74" s="112" t="n"/>
      <c r="D74" s="112" t="n"/>
      <c r="E74" s="112" t="inlineStr">
        <is>
          <t>1. 未着手</t>
        </is>
      </c>
      <c r="F74" s="112" t="n"/>
      <c r="G74" s="112" t="n"/>
      <c r="H74" s="112" t="n"/>
      <c r="I74" s="112" t="n"/>
      <c r="J74" s="112" t="n"/>
      <c r="K74" s="112" t="n"/>
      <c r="L74" s="112" t="n"/>
      <c r="M74" s="113" t="n"/>
      <c r="N74" s="113" t="n"/>
      <c r="O74" s="113" t="n"/>
      <c r="P74" s="113" t="n"/>
      <c r="Q74" s="114">
        <f>SUM(M74:P74)</f>
        <v/>
      </c>
      <c r="R74" s="112" t="b">
        <v>0</v>
      </c>
      <c r="S74" s="112" t="b">
        <v>0</v>
      </c>
      <c r="T74" s="112" t="b">
        <v>0</v>
      </c>
      <c r="U74" s="112" t="b">
        <v>0</v>
      </c>
      <c r="V74" s="115" t="n"/>
      <c r="W74" s="115" t="n"/>
      <c r="X74" s="115" t="n"/>
      <c r="Y74" s="116" t="n"/>
      <c r="Z74" s="116" t="n"/>
    </row>
    <row r="75" ht="19" customHeight="1">
      <c r="A75" s="110" t="n">
        <v>70</v>
      </c>
      <c r="B75" s="111" t="inlineStr">
        <is>
          <t>企業070</t>
        </is>
      </c>
      <c r="C75" s="117" t="n"/>
      <c r="D75" s="117" t="n"/>
      <c r="E75" s="117" t="inlineStr">
        <is>
          <t>1. 未着手</t>
        </is>
      </c>
      <c r="F75" s="117" t="n"/>
      <c r="G75" s="117" t="n"/>
      <c r="H75" s="117" t="n"/>
      <c r="I75" s="117" t="n"/>
      <c r="J75" s="117" t="n"/>
      <c r="K75" s="117" t="n"/>
      <c r="L75" s="117" t="n"/>
      <c r="M75" s="118" t="n"/>
      <c r="N75" s="118" t="n"/>
      <c r="O75" s="118" t="n"/>
      <c r="P75" s="118" t="n"/>
      <c r="Q75" s="114">
        <f>SUM(M75:P75)</f>
        <v/>
      </c>
      <c r="R75" s="117" t="b">
        <v>0</v>
      </c>
      <c r="S75" s="117" t="b">
        <v>0</v>
      </c>
      <c r="T75" s="117" t="b">
        <v>0</v>
      </c>
      <c r="U75" s="117" t="b">
        <v>0</v>
      </c>
      <c r="V75" s="119" t="n"/>
      <c r="W75" s="119" t="n"/>
      <c r="X75" s="119" t="n"/>
      <c r="Y75" s="120" t="n"/>
      <c r="Z75" s="120" t="n"/>
    </row>
    <row r="76" ht="19" customHeight="1">
      <c r="A76" s="110" t="n">
        <v>71</v>
      </c>
      <c r="B76" s="111" t="inlineStr">
        <is>
          <t>企業071</t>
        </is>
      </c>
      <c r="C76" s="112" t="n"/>
      <c r="D76" s="112" t="n"/>
      <c r="E76" s="112" t="inlineStr">
        <is>
          <t>1. 未着手</t>
        </is>
      </c>
      <c r="F76" s="112" t="n"/>
      <c r="G76" s="112" t="n"/>
      <c r="H76" s="112" t="n"/>
      <c r="I76" s="112" t="n"/>
      <c r="J76" s="112" t="n"/>
      <c r="K76" s="112" t="n"/>
      <c r="L76" s="112" t="n"/>
      <c r="M76" s="113" t="n"/>
      <c r="N76" s="113" t="n"/>
      <c r="O76" s="113" t="n"/>
      <c r="P76" s="113" t="n"/>
      <c r="Q76" s="114">
        <f>SUM(M76:P76)</f>
        <v/>
      </c>
      <c r="R76" s="112" t="b">
        <v>0</v>
      </c>
      <c r="S76" s="112" t="b">
        <v>0</v>
      </c>
      <c r="T76" s="112" t="b">
        <v>0</v>
      </c>
      <c r="U76" s="112" t="b">
        <v>0</v>
      </c>
      <c r="V76" s="115" t="n"/>
      <c r="W76" s="115" t="n"/>
      <c r="X76" s="115" t="n"/>
      <c r="Y76" s="116" t="n"/>
      <c r="Z76" s="116" t="n"/>
    </row>
    <row r="77" ht="19" customHeight="1">
      <c r="A77" s="110" t="n">
        <v>72</v>
      </c>
      <c r="B77" s="111" t="inlineStr">
        <is>
          <t>企業072</t>
        </is>
      </c>
      <c r="C77" s="117" t="n"/>
      <c r="D77" s="117" t="n"/>
      <c r="E77" s="117" t="inlineStr">
        <is>
          <t>1. 未着手</t>
        </is>
      </c>
      <c r="F77" s="117" t="n"/>
      <c r="G77" s="117" t="n"/>
      <c r="H77" s="117" t="n"/>
      <c r="I77" s="117" t="n"/>
      <c r="J77" s="117" t="n"/>
      <c r="K77" s="117" t="n"/>
      <c r="L77" s="117" t="n"/>
      <c r="M77" s="118" t="n"/>
      <c r="N77" s="118" t="n"/>
      <c r="O77" s="118" t="n"/>
      <c r="P77" s="118" t="n"/>
      <c r="Q77" s="114">
        <f>SUM(M77:P77)</f>
        <v/>
      </c>
      <c r="R77" s="117" t="b">
        <v>0</v>
      </c>
      <c r="S77" s="117" t="b">
        <v>0</v>
      </c>
      <c r="T77" s="117" t="b">
        <v>0</v>
      </c>
      <c r="U77" s="117" t="b">
        <v>0</v>
      </c>
      <c r="V77" s="119" t="n"/>
      <c r="W77" s="119" t="n"/>
      <c r="X77" s="119" t="n"/>
      <c r="Y77" s="120" t="n"/>
      <c r="Z77" s="120" t="n"/>
    </row>
    <row r="78" ht="19" customHeight="1">
      <c r="A78" s="110" t="n">
        <v>73</v>
      </c>
      <c r="B78" s="111" t="inlineStr">
        <is>
          <t>企業073</t>
        </is>
      </c>
      <c r="C78" s="112" t="n"/>
      <c r="D78" s="112" t="n"/>
      <c r="E78" s="112" t="inlineStr">
        <is>
          <t>1. 未着手</t>
        </is>
      </c>
      <c r="F78" s="112" t="n"/>
      <c r="G78" s="112" t="n"/>
      <c r="H78" s="112" t="n"/>
      <c r="I78" s="112" t="n"/>
      <c r="J78" s="112" t="n"/>
      <c r="K78" s="112" t="n"/>
      <c r="L78" s="112" t="n"/>
      <c r="M78" s="113" t="n"/>
      <c r="N78" s="113" t="n"/>
      <c r="O78" s="113" t="n"/>
      <c r="P78" s="113" t="n"/>
      <c r="Q78" s="114">
        <f>SUM(M78:P78)</f>
        <v/>
      </c>
      <c r="R78" s="112" t="b">
        <v>0</v>
      </c>
      <c r="S78" s="112" t="b">
        <v>0</v>
      </c>
      <c r="T78" s="112" t="b">
        <v>0</v>
      </c>
      <c r="U78" s="112" t="b">
        <v>0</v>
      </c>
      <c r="V78" s="115" t="n"/>
      <c r="W78" s="115" t="n"/>
      <c r="X78" s="115" t="n"/>
      <c r="Y78" s="116" t="n"/>
      <c r="Z78" s="116" t="n"/>
    </row>
    <row r="79" ht="19" customHeight="1">
      <c r="A79" s="110" t="n">
        <v>74</v>
      </c>
      <c r="B79" s="111" t="inlineStr">
        <is>
          <t>企業074</t>
        </is>
      </c>
      <c r="C79" s="117" t="n"/>
      <c r="D79" s="117" t="n"/>
      <c r="E79" s="117" t="inlineStr">
        <is>
          <t>1. 未着手</t>
        </is>
      </c>
      <c r="F79" s="117" t="n"/>
      <c r="G79" s="117" t="n"/>
      <c r="H79" s="117" t="n"/>
      <c r="I79" s="117" t="n"/>
      <c r="J79" s="117" t="n"/>
      <c r="K79" s="117" t="n"/>
      <c r="L79" s="117" t="n"/>
      <c r="M79" s="118" t="n"/>
      <c r="N79" s="118" t="n"/>
      <c r="O79" s="118" t="n"/>
      <c r="P79" s="118" t="n"/>
      <c r="Q79" s="114">
        <f>SUM(M79:P79)</f>
        <v/>
      </c>
      <c r="R79" s="117" t="b">
        <v>0</v>
      </c>
      <c r="S79" s="117" t="b">
        <v>0</v>
      </c>
      <c r="T79" s="117" t="b">
        <v>0</v>
      </c>
      <c r="U79" s="117" t="b">
        <v>0</v>
      </c>
      <c r="V79" s="119" t="n"/>
      <c r="W79" s="119" t="n"/>
      <c r="X79" s="119" t="n"/>
      <c r="Y79" s="120" t="n"/>
      <c r="Z79" s="120" t="n"/>
    </row>
    <row r="80" ht="19" customHeight="1">
      <c r="A80" s="110" t="n">
        <v>75</v>
      </c>
      <c r="B80" s="111" t="inlineStr">
        <is>
          <t>企業075</t>
        </is>
      </c>
      <c r="C80" s="112" t="n"/>
      <c r="D80" s="112" t="n"/>
      <c r="E80" s="112" t="inlineStr">
        <is>
          <t>1. 未着手</t>
        </is>
      </c>
      <c r="F80" s="112" t="n"/>
      <c r="G80" s="112" t="n"/>
      <c r="H80" s="112" t="n"/>
      <c r="I80" s="112" t="n"/>
      <c r="J80" s="112" t="n"/>
      <c r="K80" s="112" t="n"/>
      <c r="L80" s="112" t="n"/>
      <c r="M80" s="113" t="n"/>
      <c r="N80" s="113" t="n"/>
      <c r="O80" s="113" t="n"/>
      <c r="P80" s="113" t="n"/>
      <c r="Q80" s="114">
        <f>SUM(M80:P80)</f>
        <v/>
      </c>
      <c r="R80" s="112" t="b">
        <v>0</v>
      </c>
      <c r="S80" s="112" t="b">
        <v>0</v>
      </c>
      <c r="T80" s="112" t="b">
        <v>0</v>
      </c>
      <c r="U80" s="112" t="b">
        <v>0</v>
      </c>
      <c r="V80" s="115" t="n"/>
      <c r="W80" s="115" t="n"/>
      <c r="X80" s="115" t="n"/>
      <c r="Y80" s="116" t="n"/>
      <c r="Z80" s="116" t="n"/>
    </row>
    <row r="81" ht="19" customHeight="1">
      <c r="A81" s="110" t="n">
        <v>76</v>
      </c>
      <c r="B81" s="111" t="inlineStr">
        <is>
          <t>企業076</t>
        </is>
      </c>
      <c r="C81" s="117" t="n"/>
      <c r="D81" s="117" t="n"/>
      <c r="E81" s="117" t="inlineStr">
        <is>
          <t>1. 未着手</t>
        </is>
      </c>
      <c r="F81" s="117" t="n"/>
      <c r="G81" s="117" t="n"/>
      <c r="H81" s="117" t="n"/>
      <c r="I81" s="117" t="n"/>
      <c r="J81" s="117" t="n"/>
      <c r="K81" s="117" t="n"/>
      <c r="L81" s="117" t="n"/>
      <c r="M81" s="118" t="n"/>
      <c r="N81" s="118" t="n"/>
      <c r="O81" s="118" t="n"/>
      <c r="P81" s="118" t="n"/>
      <c r="Q81" s="114">
        <f>SUM(M81:P81)</f>
        <v/>
      </c>
      <c r="R81" s="117" t="b">
        <v>0</v>
      </c>
      <c r="S81" s="117" t="b">
        <v>0</v>
      </c>
      <c r="T81" s="117" t="b">
        <v>0</v>
      </c>
      <c r="U81" s="117" t="b">
        <v>0</v>
      </c>
      <c r="V81" s="119" t="n"/>
      <c r="W81" s="119" t="n"/>
      <c r="X81" s="119" t="n"/>
      <c r="Y81" s="120" t="n"/>
      <c r="Z81" s="120" t="n"/>
    </row>
    <row r="82" ht="19" customHeight="1">
      <c r="A82" s="110" t="n">
        <v>77</v>
      </c>
      <c r="B82" s="111" t="inlineStr">
        <is>
          <t>企業077</t>
        </is>
      </c>
      <c r="C82" s="112" t="n"/>
      <c r="D82" s="112" t="n"/>
      <c r="E82" s="112" t="inlineStr">
        <is>
          <t>1. 未着手</t>
        </is>
      </c>
      <c r="F82" s="112" t="n"/>
      <c r="G82" s="112" t="n"/>
      <c r="H82" s="112" t="n"/>
      <c r="I82" s="112" t="n"/>
      <c r="J82" s="112" t="n"/>
      <c r="K82" s="112" t="n"/>
      <c r="L82" s="112" t="n"/>
      <c r="M82" s="113" t="n"/>
      <c r="N82" s="113" t="n"/>
      <c r="O82" s="113" t="n"/>
      <c r="P82" s="113" t="n"/>
      <c r="Q82" s="114">
        <f>SUM(M82:P82)</f>
        <v/>
      </c>
      <c r="R82" s="112" t="b">
        <v>0</v>
      </c>
      <c r="S82" s="112" t="b">
        <v>0</v>
      </c>
      <c r="T82" s="112" t="b">
        <v>0</v>
      </c>
      <c r="U82" s="112" t="b">
        <v>0</v>
      </c>
      <c r="V82" s="115" t="n"/>
      <c r="W82" s="115" t="n"/>
      <c r="X82" s="115" t="n"/>
      <c r="Y82" s="116" t="n"/>
      <c r="Z82" s="116" t="n"/>
    </row>
    <row r="83" ht="19" customHeight="1">
      <c r="A83" s="110" t="n">
        <v>78</v>
      </c>
      <c r="B83" s="111" t="inlineStr">
        <is>
          <t>企業078</t>
        </is>
      </c>
      <c r="C83" s="117" t="n"/>
      <c r="D83" s="117" t="n"/>
      <c r="E83" s="117" t="inlineStr">
        <is>
          <t>1. 未着手</t>
        </is>
      </c>
      <c r="F83" s="117" t="n"/>
      <c r="G83" s="117" t="n"/>
      <c r="H83" s="117" t="n"/>
      <c r="I83" s="117" t="n"/>
      <c r="J83" s="117" t="n"/>
      <c r="K83" s="117" t="n"/>
      <c r="L83" s="117" t="n"/>
      <c r="M83" s="118" t="n"/>
      <c r="N83" s="118" t="n"/>
      <c r="O83" s="118" t="n"/>
      <c r="P83" s="118" t="n"/>
      <c r="Q83" s="114">
        <f>SUM(M83:P83)</f>
        <v/>
      </c>
      <c r="R83" s="117" t="b">
        <v>0</v>
      </c>
      <c r="S83" s="117" t="b">
        <v>0</v>
      </c>
      <c r="T83" s="117" t="b">
        <v>0</v>
      </c>
      <c r="U83" s="117" t="b">
        <v>0</v>
      </c>
      <c r="V83" s="119" t="n"/>
      <c r="W83" s="119" t="n"/>
      <c r="X83" s="119" t="n"/>
      <c r="Y83" s="120" t="n"/>
      <c r="Z83" s="120" t="n"/>
    </row>
    <row r="84" ht="19" customHeight="1">
      <c r="A84" s="110" t="n">
        <v>79</v>
      </c>
      <c r="B84" s="111" t="inlineStr">
        <is>
          <t>企業079</t>
        </is>
      </c>
      <c r="C84" s="112" t="n"/>
      <c r="D84" s="112" t="n"/>
      <c r="E84" s="112" t="inlineStr">
        <is>
          <t>1. 未着手</t>
        </is>
      </c>
      <c r="F84" s="112" t="n"/>
      <c r="G84" s="112" t="n"/>
      <c r="H84" s="112" t="n"/>
      <c r="I84" s="112" t="n"/>
      <c r="J84" s="112" t="n"/>
      <c r="K84" s="112" t="n"/>
      <c r="L84" s="112" t="n"/>
      <c r="M84" s="113" t="n"/>
      <c r="N84" s="113" t="n"/>
      <c r="O84" s="113" t="n"/>
      <c r="P84" s="113" t="n"/>
      <c r="Q84" s="114">
        <f>SUM(M84:P84)</f>
        <v/>
      </c>
      <c r="R84" s="112" t="b">
        <v>0</v>
      </c>
      <c r="S84" s="112" t="b">
        <v>0</v>
      </c>
      <c r="T84" s="112" t="b">
        <v>0</v>
      </c>
      <c r="U84" s="112" t="b">
        <v>0</v>
      </c>
      <c r="V84" s="115" t="n"/>
      <c r="W84" s="115" t="n"/>
      <c r="X84" s="115" t="n"/>
      <c r="Y84" s="116" t="n"/>
      <c r="Z84" s="116" t="n"/>
    </row>
    <row r="85" ht="19" customHeight="1">
      <c r="A85" s="110" t="n">
        <v>80</v>
      </c>
      <c r="B85" s="111" t="inlineStr">
        <is>
          <t>企業080</t>
        </is>
      </c>
      <c r="C85" s="117" t="n"/>
      <c r="D85" s="117" t="n"/>
      <c r="E85" s="117" t="inlineStr">
        <is>
          <t>1. 未着手</t>
        </is>
      </c>
      <c r="F85" s="117" t="n"/>
      <c r="G85" s="117" t="n"/>
      <c r="H85" s="117" t="n"/>
      <c r="I85" s="117" t="n"/>
      <c r="J85" s="117" t="n"/>
      <c r="K85" s="117" t="n"/>
      <c r="L85" s="117" t="n"/>
      <c r="M85" s="118" t="n"/>
      <c r="N85" s="118" t="n"/>
      <c r="O85" s="118" t="n"/>
      <c r="P85" s="118" t="n"/>
      <c r="Q85" s="114">
        <f>SUM(M85:P85)</f>
        <v/>
      </c>
      <c r="R85" s="117" t="b">
        <v>0</v>
      </c>
      <c r="S85" s="117" t="b">
        <v>0</v>
      </c>
      <c r="T85" s="117" t="b">
        <v>0</v>
      </c>
      <c r="U85" s="117" t="b">
        <v>0</v>
      </c>
      <c r="V85" s="119" t="n"/>
      <c r="W85" s="119" t="n"/>
      <c r="X85" s="119" t="n"/>
      <c r="Y85" s="120" t="n"/>
      <c r="Z85" s="120" t="n"/>
    </row>
    <row r="86" ht="19" customHeight="1">
      <c r="A86" s="110" t="n">
        <v>81</v>
      </c>
      <c r="B86" s="111" t="inlineStr">
        <is>
          <t>企業081</t>
        </is>
      </c>
      <c r="C86" s="112" t="n"/>
      <c r="D86" s="112" t="n"/>
      <c r="E86" s="112" t="inlineStr">
        <is>
          <t>1. 未着手</t>
        </is>
      </c>
      <c r="F86" s="112" t="n"/>
      <c r="G86" s="112" t="n"/>
      <c r="H86" s="112" t="n"/>
      <c r="I86" s="112" t="n"/>
      <c r="J86" s="112" t="n"/>
      <c r="K86" s="112" t="n"/>
      <c r="L86" s="112" t="n"/>
      <c r="M86" s="113" t="n"/>
      <c r="N86" s="113" t="n"/>
      <c r="O86" s="113" t="n"/>
      <c r="P86" s="113" t="n"/>
      <c r="Q86" s="114">
        <f>SUM(M86:P86)</f>
        <v/>
      </c>
      <c r="R86" s="112" t="b">
        <v>0</v>
      </c>
      <c r="S86" s="112" t="b">
        <v>0</v>
      </c>
      <c r="T86" s="112" t="b">
        <v>0</v>
      </c>
      <c r="U86" s="112" t="b">
        <v>0</v>
      </c>
      <c r="V86" s="115" t="n"/>
      <c r="W86" s="115" t="n"/>
      <c r="X86" s="115" t="n"/>
      <c r="Y86" s="116" t="n"/>
      <c r="Z86" s="116" t="n"/>
    </row>
    <row r="87" ht="19" customHeight="1">
      <c r="A87" s="110" t="n">
        <v>82</v>
      </c>
      <c r="B87" s="111" t="inlineStr">
        <is>
          <t>企業082</t>
        </is>
      </c>
      <c r="C87" s="117" t="n"/>
      <c r="D87" s="117" t="n"/>
      <c r="E87" s="117" t="inlineStr">
        <is>
          <t>1. 未着手</t>
        </is>
      </c>
      <c r="F87" s="117" t="n"/>
      <c r="G87" s="117" t="n"/>
      <c r="H87" s="117" t="n"/>
      <c r="I87" s="117" t="n"/>
      <c r="J87" s="117" t="n"/>
      <c r="K87" s="117" t="n"/>
      <c r="L87" s="117" t="n"/>
      <c r="M87" s="118" t="n"/>
      <c r="N87" s="118" t="n"/>
      <c r="O87" s="118" t="n"/>
      <c r="P87" s="118" t="n"/>
      <c r="Q87" s="114">
        <f>SUM(M87:P87)</f>
        <v/>
      </c>
      <c r="R87" s="117" t="b">
        <v>0</v>
      </c>
      <c r="S87" s="117" t="b">
        <v>0</v>
      </c>
      <c r="T87" s="117" t="b">
        <v>0</v>
      </c>
      <c r="U87" s="117" t="b">
        <v>0</v>
      </c>
      <c r="V87" s="119" t="n"/>
      <c r="W87" s="119" t="n"/>
      <c r="X87" s="119" t="n"/>
      <c r="Y87" s="120" t="n"/>
      <c r="Z87" s="120" t="n"/>
    </row>
    <row r="88" ht="19" customHeight="1">
      <c r="A88" s="110" t="n">
        <v>83</v>
      </c>
      <c r="B88" s="111" t="inlineStr">
        <is>
          <t>企業083</t>
        </is>
      </c>
      <c r="C88" s="112" t="n"/>
      <c r="D88" s="112" t="n"/>
      <c r="E88" s="112" t="inlineStr">
        <is>
          <t>1. 未着手</t>
        </is>
      </c>
      <c r="F88" s="112" t="n"/>
      <c r="G88" s="112" t="n"/>
      <c r="H88" s="112" t="n"/>
      <c r="I88" s="112" t="n"/>
      <c r="J88" s="112" t="n"/>
      <c r="K88" s="112" t="n"/>
      <c r="L88" s="112" t="n"/>
      <c r="M88" s="113" t="n"/>
      <c r="N88" s="113" t="n"/>
      <c r="O88" s="113" t="n"/>
      <c r="P88" s="113" t="n"/>
      <c r="Q88" s="114">
        <f>SUM(M88:P88)</f>
        <v/>
      </c>
      <c r="R88" s="112" t="b">
        <v>0</v>
      </c>
      <c r="S88" s="112" t="b">
        <v>0</v>
      </c>
      <c r="T88" s="112" t="b">
        <v>0</v>
      </c>
      <c r="U88" s="112" t="b">
        <v>0</v>
      </c>
      <c r="V88" s="115" t="n"/>
      <c r="W88" s="115" t="n"/>
      <c r="X88" s="115" t="n"/>
      <c r="Y88" s="116" t="n"/>
      <c r="Z88" s="116" t="n"/>
    </row>
    <row r="89" ht="19" customHeight="1">
      <c r="A89" s="110" t="n">
        <v>84</v>
      </c>
      <c r="B89" s="111" t="inlineStr">
        <is>
          <t>企業084</t>
        </is>
      </c>
      <c r="C89" s="117" t="n"/>
      <c r="D89" s="117" t="n"/>
      <c r="E89" s="117" t="inlineStr">
        <is>
          <t>1. 未着手</t>
        </is>
      </c>
      <c r="F89" s="117" t="n"/>
      <c r="G89" s="117" t="n"/>
      <c r="H89" s="117" t="n"/>
      <c r="I89" s="117" t="n"/>
      <c r="J89" s="117" t="n"/>
      <c r="K89" s="117" t="n"/>
      <c r="L89" s="117" t="n"/>
      <c r="M89" s="118" t="n"/>
      <c r="N89" s="118" t="n"/>
      <c r="O89" s="118" t="n"/>
      <c r="P89" s="118" t="n"/>
      <c r="Q89" s="114">
        <f>SUM(M89:P89)</f>
        <v/>
      </c>
      <c r="R89" s="117" t="b">
        <v>0</v>
      </c>
      <c r="S89" s="117" t="b">
        <v>0</v>
      </c>
      <c r="T89" s="117" t="b">
        <v>0</v>
      </c>
      <c r="U89" s="117" t="b">
        <v>0</v>
      </c>
      <c r="V89" s="119" t="n"/>
      <c r="W89" s="119" t="n"/>
      <c r="X89" s="119" t="n"/>
      <c r="Y89" s="120" t="n"/>
      <c r="Z89" s="120" t="n"/>
    </row>
    <row r="90" ht="19" customHeight="1">
      <c r="A90" s="110" t="n">
        <v>85</v>
      </c>
      <c r="B90" s="111" t="inlineStr">
        <is>
          <t>企業085</t>
        </is>
      </c>
      <c r="C90" s="112" t="n"/>
      <c r="D90" s="112" t="n"/>
      <c r="E90" s="112" t="inlineStr">
        <is>
          <t>1. 未着手</t>
        </is>
      </c>
      <c r="F90" s="112" t="n"/>
      <c r="G90" s="112" t="n"/>
      <c r="H90" s="112" t="n"/>
      <c r="I90" s="112" t="n"/>
      <c r="J90" s="112" t="n"/>
      <c r="K90" s="112" t="n"/>
      <c r="L90" s="112" t="n"/>
      <c r="M90" s="113" t="n"/>
      <c r="N90" s="113" t="n"/>
      <c r="O90" s="113" t="n"/>
      <c r="P90" s="113" t="n"/>
      <c r="Q90" s="114">
        <f>SUM(M90:P90)</f>
        <v/>
      </c>
      <c r="R90" s="112" t="b">
        <v>0</v>
      </c>
      <c r="S90" s="112" t="b">
        <v>0</v>
      </c>
      <c r="T90" s="112" t="b">
        <v>0</v>
      </c>
      <c r="U90" s="112" t="b">
        <v>0</v>
      </c>
      <c r="V90" s="115" t="n"/>
      <c r="W90" s="115" t="n"/>
      <c r="X90" s="115" t="n"/>
      <c r="Y90" s="116" t="n"/>
      <c r="Z90" s="116" t="n"/>
    </row>
    <row r="91" ht="19" customHeight="1">
      <c r="A91" s="110" t="n">
        <v>86</v>
      </c>
      <c r="B91" s="111" t="inlineStr">
        <is>
          <t>企業086</t>
        </is>
      </c>
      <c r="C91" s="117" t="n"/>
      <c r="D91" s="117" t="n"/>
      <c r="E91" s="117" t="inlineStr">
        <is>
          <t>1. 未着手</t>
        </is>
      </c>
      <c r="F91" s="117" t="n"/>
      <c r="G91" s="117" t="n"/>
      <c r="H91" s="117" t="n"/>
      <c r="I91" s="117" t="n"/>
      <c r="J91" s="117" t="n"/>
      <c r="K91" s="117" t="n"/>
      <c r="L91" s="117" t="n"/>
      <c r="M91" s="118" t="n"/>
      <c r="N91" s="118" t="n"/>
      <c r="O91" s="118" t="n"/>
      <c r="P91" s="118" t="n"/>
      <c r="Q91" s="114">
        <f>SUM(M91:P91)</f>
        <v/>
      </c>
      <c r="R91" s="117" t="b">
        <v>0</v>
      </c>
      <c r="S91" s="117" t="b">
        <v>0</v>
      </c>
      <c r="T91" s="117" t="b">
        <v>0</v>
      </c>
      <c r="U91" s="117" t="b">
        <v>0</v>
      </c>
      <c r="V91" s="119" t="n"/>
      <c r="W91" s="119" t="n"/>
      <c r="X91" s="119" t="n"/>
      <c r="Y91" s="120" t="n"/>
      <c r="Z91" s="120" t="n"/>
    </row>
    <row r="92" ht="19" customHeight="1">
      <c r="A92" s="110" t="n">
        <v>87</v>
      </c>
      <c r="B92" s="111" t="inlineStr">
        <is>
          <t>企業087</t>
        </is>
      </c>
      <c r="C92" s="112" t="n"/>
      <c r="D92" s="112" t="n"/>
      <c r="E92" s="112" t="inlineStr">
        <is>
          <t>1. 未着手</t>
        </is>
      </c>
      <c r="F92" s="112" t="n"/>
      <c r="G92" s="112" t="n"/>
      <c r="H92" s="112" t="n"/>
      <c r="I92" s="112" t="n"/>
      <c r="J92" s="112" t="n"/>
      <c r="K92" s="112" t="n"/>
      <c r="L92" s="112" t="n"/>
      <c r="M92" s="113" t="n"/>
      <c r="N92" s="113" t="n"/>
      <c r="O92" s="113" t="n"/>
      <c r="P92" s="113" t="n"/>
      <c r="Q92" s="114">
        <f>SUM(M92:P92)</f>
        <v/>
      </c>
      <c r="R92" s="112" t="b">
        <v>0</v>
      </c>
      <c r="S92" s="112" t="b">
        <v>0</v>
      </c>
      <c r="T92" s="112" t="b">
        <v>0</v>
      </c>
      <c r="U92" s="112" t="b">
        <v>0</v>
      </c>
      <c r="V92" s="115" t="n"/>
      <c r="W92" s="115" t="n"/>
      <c r="X92" s="115" t="n"/>
      <c r="Y92" s="116" t="n"/>
      <c r="Z92" s="116" t="n"/>
    </row>
    <row r="93" ht="19" customHeight="1">
      <c r="A93" s="110" t="n">
        <v>88</v>
      </c>
      <c r="B93" s="111" t="inlineStr">
        <is>
          <t>企業088</t>
        </is>
      </c>
      <c r="C93" s="117" t="n"/>
      <c r="D93" s="117" t="n"/>
      <c r="E93" s="117" t="inlineStr">
        <is>
          <t>1. 未着手</t>
        </is>
      </c>
      <c r="F93" s="117" t="n"/>
      <c r="G93" s="117" t="n"/>
      <c r="H93" s="117" t="n"/>
      <c r="I93" s="117" t="n"/>
      <c r="J93" s="117" t="n"/>
      <c r="K93" s="117" t="n"/>
      <c r="L93" s="117" t="n"/>
      <c r="M93" s="118" t="n"/>
      <c r="N93" s="118" t="n"/>
      <c r="O93" s="118" t="n"/>
      <c r="P93" s="118" t="n"/>
      <c r="Q93" s="114">
        <f>SUM(M93:P93)</f>
        <v/>
      </c>
      <c r="R93" s="117" t="b">
        <v>0</v>
      </c>
      <c r="S93" s="117" t="b">
        <v>0</v>
      </c>
      <c r="T93" s="117" t="b">
        <v>0</v>
      </c>
      <c r="U93" s="117" t="b">
        <v>0</v>
      </c>
      <c r="V93" s="119" t="n"/>
      <c r="W93" s="119" t="n"/>
      <c r="X93" s="119" t="n"/>
      <c r="Y93" s="120" t="n"/>
      <c r="Z93" s="120" t="n"/>
    </row>
    <row r="94" ht="19" customHeight="1">
      <c r="A94" s="110" t="n">
        <v>89</v>
      </c>
      <c r="B94" s="111" t="inlineStr">
        <is>
          <t>企業089</t>
        </is>
      </c>
      <c r="C94" s="112" t="n"/>
      <c r="D94" s="112" t="n"/>
      <c r="E94" s="112" t="inlineStr">
        <is>
          <t>1. 未着手</t>
        </is>
      </c>
      <c r="F94" s="112" t="n"/>
      <c r="G94" s="112" t="n"/>
      <c r="H94" s="112" t="n"/>
      <c r="I94" s="112" t="n"/>
      <c r="J94" s="112" t="n"/>
      <c r="K94" s="112" t="n"/>
      <c r="L94" s="112" t="n"/>
      <c r="M94" s="113" t="n"/>
      <c r="N94" s="113" t="n"/>
      <c r="O94" s="113" t="n"/>
      <c r="P94" s="113" t="n"/>
      <c r="Q94" s="114">
        <f>SUM(M94:P94)</f>
        <v/>
      </c>
      <c r="R94" s="112" t="b">
        <v>0</v>
      </c>
      <c r="S94" s="112" t="b">
        <v>0</v>
      </c>
      <c r="T94" s="112" t="b">
        <v>0</v>
      </c>
      <c r="U94" s="112" t="b">
        <v>0</v>
      </c>
      <c r="V94" s="115" t="n"/>
      <c r="W94" s="115" t="n"/>
      <c r="X94" s="115" t="n"/>
      <c r="Y94" s="116" t="n"/>
      <c r="Z94" s="116" t="n"/>
    </row>
    <row r="95" ht="19" customHeight="1">
      <c r="A95" s="110" t="n">
        <v>90</v>
      </c>
      <c r="B95" s="111" t="inlineStr">
        <is>
          <t>企業090</t>
        </is>
      </c>
      <c r="C95" s="117" t="n"/>
      <c r="D95" s="117" t="n"/>
      <c r="E95" s="117" t="inlineStr">
        <is>
          <t>1. 未着手</t>
        </is>
      </c>
      <c r="F95" s="117" t="n"/>
      <c r="G95" s="117" t="n"/>
      <c r="H95" s="117" t="n"/>
      <c r="I95" s="117" t="n"/>
      <c r="J95" s="117" t="n"/>
      <c r="K95" s="117" t="n"/>
      <c r="L95" s="117" t="n"/>
      <c r="M95" s="118" t="n"/>
      <c r="N95" s="118" t="n"/>
      <c r="O95" s="118" t="n"/>
      <c r="P95" s="118" t="n"/>
      <c r="Q95" s="114">
        <f>SUM(M95:P95)</f>
        <v/>
      </c>
      <c r="R95" s="117" t="b">
        <v>0</v>
      </c>
      <c r="S95" s="117" t="b">
        <v>0</v>
      </c>
      <c r="T95" s="117" t="b">
        <v>0</v>
      </c>
      <c r="U95" s="117" t="b">
        <v>0</v>
      </c>
      <c r="V95" s="119" t="n"/>
      <c r="W95" s="119" t="n"/>
      <c r="X95" s="119" t="n"/>
      <c r="Y95" s="120" t="n"/>
      <c r="Z95" s="120" t="n"/>
    </row>
    <row r="96" ht="19" customHeight="1">
      <c r="A96" s="110" t="n">
        <v>91</v>
      </c>
      <c r="B96" s="111" t="inlineStr">
        <is>
          <t>企業091</t>
        </is>
      </c>
      <c r="C96" s="112" t="n"/>
      <c r="D96" s="112" t="n"/>
      <c r="E96" s="112" t="inlineStr">
        <is>
          <t>1. 未着手</t>
        </is>
      </c>
      <c r="F96" s="112" t="n"/>
      <c r="G96" s="112" t="n"/>
      <c r="H96" s="112" t="n"/>
      <c r="I96" s="112" t="n"/>
      <c r="J96" s="112" t="n"/>
      <c r="K96" s="112" t="n"/>
      <c r="L96" s="112" t="n"/>
      <c r="M96" s="113" t="n"/>
      <c r="N96" s="113" t="n"/>
      <c r="O96" s="113" t="n"/>
      <c r="P96" s="113" t="n"/>
      <c r="Q96" s="114">
        <f>SUM(M96:P96)</f>
        <v/>
      </c>
      <c r="R96" s="112" t="b">
        <v>0</v>
      </c>
      <c r="S96" s="112" t="b">
        <v>0</v>
      </c>
      <c r="T96" s="112" t="b">
        <v>0</v>
      </c>
      <c r="U96" s="112" t="b">
        <v>0</v>
      </c>
      <c r="V96" s="115" t="n"/>
      <c r="W96" s="115" t="n"/>
      <c r="X96" s="115" t="n"/>
      <c r="Y96" s="116" t="n"/>
      <c r="Z96" s="116" t="n"/>
    </row>
    <row r="97" ht="19" customHeight="1">
      <c r="A97" s="110" t="n">
        <v>92</v>
      </c>
      <c r="B97" s="111" t="inlineStr">
        <is>
          <t>企業092</t>
        </is>
      </c>
      <c r="C97" s="117" t="n"/>
      <c r="D97" s="117" t="n"/>
      <c r="E97" s="117" t="inlineStr">
        <is>
          <t>1. 未着手</t>
        </is>
      </c>
      <c r="F97" s="117" t="n"/>
      <c r="G97" s="117" t="n"/>
      <c r="H97" s="117" t="n"/>
      <c r="I97" s="117" t="n"/>
      <c r="J97" s="117" t="n"/>
      <c r="K97" s="117" t="n"/>
      <c r="L97" s="117" t="n"/>
      <c r="M97" s="118" t="n"/>
      <c r="N97" s="118" t="n"/>
      <c r="O97" s="118" t="n"/>
      <c r="P97" s="118" t="n"/>
      <c r="Q97" s="114">
        <f>SUM(M97:P97)</f>
        <v/>
      </c>
      <c r="R97" s="117" t="b">
        <v>0</v>
      </c>
      <c r="S97" s="117" t="b">
        <v>0</v>
      </c>
      <c r="T97" s="117" t="b">
        <v>0</v>
      </c>
      <c r="U97" s="117" t="b">
        <v>0</v>
      </c>
      <c r="V97" s="119" t="n"/>
      <c r="W97" s="119" t="n"/>
      <c r="X97" s="119" t="n"/>
      <c r="Y97" s="120" t="n"/>
      <c r="Z97" s="120" t="n"/>
    </row>
    <row r="98" ht="19" customHeight="1">
      <c r="A98" s="110" t="n">
        <v>93</v>
      </c>
      <c r="B98" s="111" t="inlineStr">
        <is>
          <t>企業093</t>
        </is>
      </c>
      <c r="C98" s="112" t="n"/>
      <c r="D98" s="112" t="n"/>
      <c r="E98" s="112" t="inlineStr">
        <is>
          <t>1. 未着手</t>
        </is>
      </c>
      <c r="F98" s="112" t="n"/>
      <c r="G98" s="112" t="n"/>
      <c r="H98" s="112" t="n"/>
      <c r="I98" s="112" t="n"/>
      <c r="J98" s="112" t="n"/>
      <c r="K98" s="112" t="n"/>
      <c r="L98" s="112" t="n"/>
      <c r="M98" s="113" t="n"/>
      <c r="N98" s="113" t="n"/>
      <c r="O98" s="113" t="n"/>
      <c r="P98" s="113" t="n"/>
      <c r="Q98" s="114">
        <f>SUM(M98:P98)</f>
        <v/>
      </c>
      <c r="R98" s="112" t="b">
        <v>0</v>
      </c>
      <c r="S98" s="112" t="b">
        <v>0</v>
      </c>
      <c r="T98" s="112" t="b">
        <v>0</v>
      </c>
      <c r="U98" s="112" t="b">
        <v>0</v>
      </c>
      <c r="V98" s="115" t="n"/>
      <c r="W98" s="115" t="n"/>
      <c r="X98" s="115" t="n"/>
      <c r="Y98" s="116" t="n"/>
      <c r="Z98" s="116" t="n"/>
    </row>
    <row r="99" ht="19" customHeight="1">
      <c r="A99" s="110" t="n">
        <v>94</v>
      </c>
      <c r="B99" s="111" t="inlineStr">
        <is>
          <t>企業094</t>
        </is>
      </c>
      <c r="C99" s="117" t="n"/>
      <c r="D99" s="117" t="n"/>
      <c r="E99" s="117" t="inlineStr">
        <is>
          <t>1. 未着手</t>
        </is>
      </c>
      <c r="F99" s="117" t="n"/>
      <c r="G99" s="117" t="n"/>
      <c r="H99" s="117" t="n"/>
      <c r="I99" s="117" t="n"/>
      <c r="J99" s="117" t="n"/>
      <c r="K99" s="117" t="n"/>
      <c r="L99" s="117" t="n"/>
      <c r="M99" s="118" t="n"/>
      <c r="N99" s="118" t="n"/>
      <c r="O99" s="118" t="n"/>
      <c r="P99" s="118" t="n"/>
      <c r="Q99" s="114">
        <f>SUM(M99:P99)</f>
        <v/>
      </c>
      <c r="R99" s="117" t="b">
        <v>0</v>
      </c>
      <c r="S99" s="117" t="b">
        <v>0</v>
      </c>
      <c r="T99" s="117" t="b">
        <v>0</v>
      </c>
      <c r="U99" s="117" t="b">
        <v>0</v>
      </c>
      <c r="V99" s="119" t="n"/>
      <c r="W99" s="119" t="n"/>
      <c r="X99" s="119" t="n"/>
      <c r="Y99" s="120" t="n"/>
      <c r="Z99" s="120" t="n"/>
    </row>
    <row r="100" ht="19" customHeight="1">
      <c r="A100" s="110" t="n">
        <v>95</v>
      </c>
      <c r="B100" s="111" t="inlineStr">
        <is>
          <t>企業095</t>
        </is>
      </c>
      <c r="C100" s="112" t="n"/>
      <c r="D100" s="112" t="n"/>
      <c r="E100" s="112" t="inlineStr">
        <is>
          <t>1. 未着手</t>
        </is>
      </c>
      <c r="F100" s="112" t="n"/>
      <c r="G100" s="112" t="n"/>
      <c r="H100" s="112" t="n"/>
      <c r="I100" s="112" t="n"/>
      <c r="J100" s="112" t="n"/>
      <c r="K100" s="112" t="n"/>
      <c r="L100" s="112" t="n"/>
      <c r="M100" s="113" t="n"/>
      <c r="N100" s="113" t="n"/>
      <c r="O100" s="113" t="n"/>
      <c r="P100" s="113" t="n"/>
      <c r="Q100" s="114">
        <f>SUM(M100:P100)</f>
        <v/>
      </c>
      <c r="R100" s="112" t="b">
        <v>0</v>
      </c>
      <c r="S100" s="112" t="b">
        <v>0</v>
      </c>
      <c r="T100" s="112" t="b">
        <v>0</v>
      </c>
      <c r="U100" s="112" t="b">
        <v>0</v>
      </c>
      <c r="V100" s="115" t="n"/>
      <c r="W100" s="115" t="n"/>
      <c r="X100" s="115" t="n"/>
      <c r="Y100" s="116" t="n"/>
      <c r="Z100" s="116" t="n"/>
    </row>
    <row r="101" ht="19" customHeight="1">
      <c r="A101" s="110" t="n">
        <v>96</v>
      </c>
      <c r="B101" s="111" t="inlineStr">
        <is>
          <t>企業096</t>
        </is>
      </c>
      <c r="C101" s="117" t="n"/>
      <c r="D101" s="117" t="n"/>
      <c r="E101" s="117" t="inlineStr">
        <is>
          <t>1. 未着手</t>
        </is>
      </c>
      <c r="F101" s="117" t="n"/>
      <c r="G101" s="117" t="n"/>
      <c r="H101" s="117" t="n"/>
      <c r="I101" s="117" t="n"/>
      <c r="J101" s="117" t="n"/>
      <c r="K101" s="117" t="n"/>
      <c r="L101" s="117" t="n"/>
      <c r="M101" s="118" t="n"/>
      <c r="N101" s="118" t="n"/>
      <c r="O101" s="118" t="n"/>
      <c r="P101" s="118" t="n"/>
      <c r="Q101" s="114">
        <f>SUM(M101:P101)</f>
        <v/>
      </c>
      <c r="R101" s="117" t="b">
        <v>0</v>
      </c>
      <c r="S101" s="117" t="b">
        <v>0</v>
      </c>
      <c r="T101" s="117" t="b">
        <v>0</v>
      </c>
      <c r="U101" s="117" t="b">
        <v>0</v>
      </c>
      <c r="V101" s="119" t="n"/>
      <c r="W101" s="119" t="n"/>
      <c r="X101" s="119" t="n"/>
      <c r="Y101" s="120" t="n"/>
      <c r="Z101" s="120" t="n"/>
    </row>
    <row r="102" ht="19" customHeight="1">
      <c r="A102" s="110" t="n">
        <v>97</v>
      </c>
      <c r="B102" s="111" t="inlineStr">
        <is>
          <t>企業097</t>
        </is>
      </c>
      <c r="C102" s="112" t="n"/>
      <c r="D102" s="112" t="n"/>
      <c r="E102" s="112" t="inlineStr">
        <is>
          <t>1. 未着手</t>
        </is>
      </c>
      <c r="F102" s="112" t="n"/>
      <c r="G102" s="112" t="n"/>
      <c r="H102" s="112" t="n"/>
      <c r="I102" s="112" t="n"/>
      <c r="J102" s="112" t="n"/>
      <c r="K102" s="112" t="n"/>
      <c r="L102" s="112" t="n"/>
      <c r="M102" s="113" t="n"/>
      <c r="N102" s="113" t="n"/>
      <c r="O102" s="113" t="n"/>
      <c r="P102" s="113" t="n"/>
      <c r="Q102" s="114">
        <f>SUM(M102:P102)</f>
        <v/>
      </c>
      <c r="R102" s="112" t="b">
        <v>0</v>
      </c>
      <c r="S102" s="112" t="b">
        <v>0</v>
      </c>
      <c r="T102" s="112" t="b">
        <v>0</v>
      </c>
      <c r="U102" s="112" t="b">
        <v>0</v>
      </c>
      <c r="V102" s="115" t="n"/>
      <c r="W102" s="115" t="n"/>
      <c r="X102" s="115" t="n"/>
      <c r="Y102" s="116" t="n"/>
      <c r="Z102" s="116" t="n"/>
    </row>
    <row r="103" ht="19" customHeight="1">
      <c r="A103" s="110" t="n">
        <v>98</v>
      </c>
      <c r="B103" s="111" t="inlineStr">
        <is>
          <t>企業098</t>
        </is>
      </c>
      <c r="C103" s="117" t="n"/>
      <c r="D103" s="117" t="n"/>
      <c r="E103" s="117" t="inlineStr">
        <is>
          <t>1. 未着手</t>
        </is>
      </c>
      <c r="F103" s="117" t="n"/>
      <c r="G103" s="117" t="n"/>
      <c r="H103" s="117" t="n"/>
      <c r="I103" s="117" t="n"/>
      <c r="J103" s="117" t="n"/>
      <c r="K103" s="117" t="n"/>
      <c r="L103" s="117" t="n"/>
      <c r="M103" s="118" t="n"/>
      <c r="N103" s="118" t="n"/>
      <c r="O103" s="118" t="n"/>
      <c r="P103" s="118" t="n"/>
      <c r="Q103" s="114">
        <f>SUM(M103:P103)</f>
        <v/>
      </c>
      <c r="R103" s="117" t="b">
        <v>0</v>
      </c>
      <c r="S103" s="117" t="b">
        <v>0</v>
      </c>
      <c r="T103" s="117" t="b">
        <v>0</v>
      </c>
      <c r="U103" s="117" t="b">
        <v>0</v>
      </c>
      <c r="V103" s="119" t="n"/>
      <c r="W103" s="119" t="n"/>
      <c r="X103" s="119" t="n"/>
      <c r="Y103" s="120" t="n"/>
      <c r="Z103" s="120" t="n"/>
    </row>
    <row r="104" ht="19" customHeight="1">
      <c r="A104" s="110" t="n">
        <v>99</v>
      </c>
      <c r="B104" s="111" t="inlineStr">
        <is>
          <t>企業099</t>
        </is>
      </c>
      <c r="C104" s="112" t="n"/>
      <c r="D104" s="112" t="n"/>
      <c r="E104" s="112" t="inlineStr">
        <is>
          <t>1. 未着手</t>
        </is>
      </c>
      <c r="F104" s="112" t="n"/>
      <c r="G104" s="112" t="n"/>
      <c r="H104" s="112" t="n"/>
      <c r="I104" s="112" t="n"/>
      <c r="J104" s="112" t="n"/>
      <c r="K104" s="112" t="n"/>
      <c r="L104" s="112" t="n"/>
      <c r="M104" s="113" t="n"/>
      <c r="N104" s="113" t="n"/>
      <c r="O104" s="113" t="n"/>
      <c r="P104" s="113" t="n"/>
      <c r="Q104" s="114">
        <f>SUM(M104:P104)</f>
        <v/>
      </c>
      <c r="R104" s="112" t="b">
        <v>0</v>
      </c>
      <c r="S104" s="112" t="b">
        <v>0</v>
      </c>
      <c r="T104" s="112" t="b">
        <v>0</v>
      </c>
      <c r="U104" s="112" t="b">
        <v>0</v>
      </c>
      <c r="V104" s="115" t="n"/>
      <c r="W104" s="115" t="n"/>
      <c r="X104" s="115" t="n"/>
      <c r="Y104" s="116" t="n"/>
      <c r="Z104" s="116" t="n"/>
    </row>
    <row r="105" ht="19" customHeight="1">
      <c r="A105" s="110" t="n">
        <v>100</v>
      </c>
      <c r="B105" s="111" t="inlineStr">
        <is>
          <t>企業100</t>
        </is>
      </c>
      <c r="C105" s="117" t="n"/>
      <c r="D105" s="117" t="n"/>
      <c r="E105" s="117" t="inlineStr">
        <is>
          <t>1. 未着手</t>
        </is>
      </c>
      <c r="F105" s="117" t="n"/>
      <c r="G105" s="117" t="n"/>
      <c r="H105" s="117" t="n"/>
      <c r="I105" s="117" t="n"/>
      <c r="J105" s="117" t="n"/>
      <c r="K105" s="117" t="n"/>
      <c r="L105" s="117" t="n"/>
      <c r="M105" s="118" t="n"/>
      <c r="N105" s="118" t="n"/>
      <c r="O105" s="118" t="n"/>
      <c r="P105" s="118" t="n"/>
      <c r="Q105" s="114">
        <f>SUM(M105:P105)</f>
        <v/>
      </c>
      <c r="R105" s="117" t="b">
        <v>0</v>
      </c>
      <c r="S105" s="117" t="b">
        <v>0</v>
      </c>
      <c r="T105" s="117" t="b">
        <v>0</v>
      </c>
      <c r="U105" s="117" t="b">
        <v>0</v>
      </c>
      <c r="V105" s="119" t="n"/>
      <c r="W105" s="119" t="n"/>
      <c r="X105" s="119" t="n"/>
      <c r="Y105" s="120" t="n"/>
      <c r="Z105" s="120" t="n"/>
    </row>
    <row r="106" ht="19" customHeight="1">
      <c r="A106" s="110" t="n">
        <v>101</v>
      </c>
      <c r="B106" s="111" t="inlineStr">
        <is>
          <t>企業101</t>
        </is>
      </c>
      <c r="C106" s="112" t="n"/>
      <c r="D106" s="112" t="n"/>
      <c r="E106" s="112" t="inlineStr">
        <is>
          <t>1. 未着手</t>
        </is>
      </c>
      <c r="F106" s="112" t="n"/>
      <c r="G106" s="112" t="n"/>
      <c r="H106" s="112" t="n"/>
      <c r="I106" s="112" t="n"/>
      <c r="J106" s="112" t="n"/>
      <c r="K106" s="112" t="n"/>
      <c r="L106" s="112" t="n"/>
      <c r="M106" s="113" t="n"/>
      <c r="N106" s="113" t="n"/>
      <c r="O106" s="113" t="n"/>
      <c r="P106" s="113" t="n"/>
      <c r="Q106" s="114">
        <f>SUM(M106:P106)</f>
        <v/>
      </c>
      <c r="R106" s="112" t="b">
        <v>0</v>
      </c>
      <c r="S106" s="112" t="b">
        <v>0</v>
      </c>
      <c r="T106" s="112" t="b">
        <v>0</v>
      </c>
      <c r="U106" s="112" t="b">
        <v>0</v>
      </c>
      <c r="V106" s="115" t="n"/>
      <c r="W106" s="115" t="n"/>
      <c r="X106" s="115" t="n"/>
      <c r="Y106" s="116" t="n"/>
      <c r="Z106" s="116" t="n"/>
    </row>
    <row r="107" ht="19" customHeight="1">
      <c r="A107" s="110" t="n">
        <v>102</v>
      </c>
      <c r="B107" s="111" t="inlineStr">
        <is>
          <t>企業102</t>
        </is>
      </c>
      <c r="C107" s="117" t="n"/>
      <c r="D107" s="117" t="n"/>
      <c r="E107" s="117" t="inlineStr">
        <is>
          <t>1. 未着手</t>
        </is>
      </c>
      <c r="F107" s="117" t="n"/>
      <c r="G107" s="117" t="n"/>
      <c r="H107" s="117" t="n"/>
      <c r="I107" s="117" t="n"/>
      <c r="J107" s="117" t="n"/>
      <c r="K107" s="117" t="n"/>
      <c r="L107" s="117" t="n"/>
      <c r="M107" s="118" t="n"/>
      <c r="N107" s="118" t="n"/>
      <c r="O107" s="118" t="n"/>
      <c r="P107" s="118" t="n"/>
      <c r="Q107" s="114">
        <f>SUM(M107:P107)</f>
        <v/>
      </c>
      <c r="R107" s="117" t="b">
        <v>0</v>
      </c>
      <c r="S107" s="117" t="b">
        <v>0</v>
      </c>
      <c r="T107" s="117" t="b">
        <v>0</v>
      </c>
      <c r="U107" s="117" t="b">
        <v>0</v>
      </c>
      <c r="V107" s="119" t="n"/>
      <c r="W107" s="119" t="n"/>
      <c r="X107" s="119" t="n"/>
      <c r="Y107" s="120" t="n"/>
      <c r="Z107" s="120" t="n"/>
    </row>
    <row r="108" ht="19" customHeight="1">
      <c r="A108" s="110" t="n">
        <v>103</v>
      </c>
      <c r="B108" s="111" t="inlineStr">
        <is>
          <t>企業103</t>
        </is>
      </c>
      <c r="C108" s="112" t="n"/>
      <c r="D108" s="112" t="n"/>
      <c r="E108" s="112" t="inlineStr">
        <is>
          <t>1. 未着手</t>
        </is>
      </c>
      <c r="F108" s="112" t="n"/>
      <c r="G108" s="112" t="n"/>
      <c r="H108" s="112" t="n"/>
      <c r="I108" s="112" t="n"/>
      <c r="J108" s="112" t="n"/>
      <c r="K108" s="112" t="n"/>
      <c r="L108" s="112" t="n"/>
      <c r="M108" s="113" t="n"/>
      <c r="N108" s="113" t="n"/>
      <c r="O108" s="113" t="n"/>
      <c r="P108" s="113" t="n"/>
      <c r="Q108" s="114">
        <f>SUM(M108:P108)</f>
        <v/>
      </c>
      <c r="R108" s="112" t="b">
        <v>0</v>
      </c>
      <c r="S108" s="112" t="b">
        <v>0</v>
      </c>
      <c r="T108" s="112" t="b">
        <v>0</v>
      </c>
      <c r="U108" s="112" t="b">
        <v>0</v>
      </c>
      <c r="V108" s="115" t="n"/>
      <c r="W108" s="115" t="n"/>
      <c r="X108" s="115" t="n"/>
      <c r="Y108" s="116" t="n"/>
      <c r="Z108" s="116" t="n"/>
    </row>
    <row r="109" ht="19" customHeight="1">
      <c r="A109" s="110" t="n">
        <v>104</v>
      </c>
      <c r="B109" s="111" t="inlineStr">
        <is>
          <t>企業104</t>
        </is>
      </c>
      <c r="C109" s="117" t="n"/>
      <c r="D109" s="117" t="n"/>
      <c r="E109" s="117" t="inlineStr">
        <is>
          <t>1. 未着手</t>
        </is>
      </c>
      <c r="F109" s="117" t="n"/>
      <c r="G109" s="117" t="n"/>
      <c r="H109" s="117" t="n"/>
      <c r="I109" s="117" t="n"/>
      <c r="J109" s="117" t="n"/>
      <c r="K109" s="117" t="n"/>
      <c r="L109" s="117" t="n"/>
      <c r="M109" s="118" t="n"/>
      <c r="N109" s="118" t="n"/>
      <c r="O109" s="118" t="n"/>
      <c r="P109" s="118" t="n"/>
      <c r="Q109" s="114">
        <f>SUM(M109:P109)</f>
        <v/>
      </c>
      <c r="R109" s="117" t="b">
        <v>0</v>
      </c>
      <c r="S109" s="117" t="b">
        <v>0</v>
      </c>
      <c r="T109" s="117" t="b">
        <v>0</v>
      </c>
      <c r="U109" s="117" t="b">
        <v>0</v>
      </c>
      <c r="V109" s="119" t="n"/>
      <c r="W109" s="119" t="n"/>
      <c r="X109" s="119" t="n"/>
      <c r="Y109" s="120" t="n"/>
      <c r="Z109" s="120" t="n"/>
    </row>
    <row r="110" ht="19" customHeight="1">
      <c r="A110" s="110" t="n">
        <v>105</v>
      </c>
      <c r="B110" s="111" t="inlineStr">
        <is>
          <t>企業105</t>
        </is>
      </c>
      <c r="C110" s="112" t="n"/>
      <c r="D110" s="112" t="n"/>
      <c r="E110" s="112" t="inlineStr">
        <is>
          <t>1. 未着手</t>
        </is>
      </c>
      <c r="F110" s="112" t="n"/>
      <c r="G110" s="112" t="n"/>
      <c r="H110" s="112" t="n"/>
      <c r="I110" s="112" t="n"/>
      <c r="J110" s="112" t="n"/>
      <c r="K110" s="112" t="n"/>
      <c r="L110" s="112" t="n"/>
      <c r="M110" s="113" t="n"/>
      <c r="N110" s="113" t="n"/>
      <c r="O110" s="113" t="n"/>
      <c r="P110" s="113" t="n"/>
      <c r="Q110" s="114">
        <f>SUM(M110:P110)</f>
        <v/>
      </c>
      <c r="R110" s="112" t="b">
        <v>0</v>
      </c>
      <c r="S110" s="112" t="b">
        <v>0</v>
      </c>
      <c r="T110" s="112" t="b">
        <v>0</v>
      </c>
      <c r="U110" s="112" t="b">
        <v>0</v>
      </c>
      <c r="V110" s="115" t="n"/>
      <c r="W110" s="115" t="n"/>
      <c r="X110" s="115" t="n"/>
      <c r="Y110" s="116" t="n"/>
      <c r="Z110" s="116" t="n"/>
    </row>
    <row r="111" ht="19" customHeight="1">
      <c r="A111" s="110" t="n">
        <v>106</v>
      </c>
      <c r="B111" s="111" t="inlineStr">
        <is>
          <t>企業106</t>
        </is>
      </c>
      <c r="C111" s="117" t="n"/>
      <c r="D111" s="117" t="n"/>
      <c r="E111" s="117" t="inlineStr">
        <is>
          <t>1. 未着手</t>
        </is>
      </c>
      <c r="F111" s="117" t="n"/>
      <c r="G111" s="117" t="n"/>
      <c r="H111" s="117" t="n"/>
      <c r="I111" s="117" t="n"/>
      <c r="J111" s="117" t="n"/>
      <c r="K111" s="117" t="n"/>
      <c r="L111" s="117" t="n"/>
      <c r="M111" s="118" t="n"/>
      <c r="N111" s="118" t="n"/>
      <c r="O111" s="118" t="n"/>
      <c r="P111" s="118" t="n"/>
      <c r="Q111" s="114">
        <f>SUM(M111:P111)</f>
        <v/>
      </c>
      <c r="R111" s="117" t="b">
        <v>0</v>
      </c>
      <c r="S111" s="117" t="b">
        <v>0</v>
      </c>
      <c r="T111" s="117" t="b">
        <v>0</v>
      </c>
      <c r="U111" s="117" t="b">
        <v>0</v>
      </c>
      <c r="V111" s="119" t="n"/>
      <c r="W111" s="119" t="n"/>
      <c r="X111" s="119" t="n"/>
      <c r="Y111" s="120" t="n"/>
      <c r="Z111" s="120" t="n"/>
    </row>
    <row r="112" ht="19" customHeight="1">
      <c r="A112" s="110" t="n">
        <v>107</v>
      </c>
      <c r="B112" s="111" t="inlineStr">
        <is>
          <t>企業107</t>
        </is>
      </c>
      <c r="C112" s="112" t="n"/>
      <c r="D112" s="112" t="n"/>
      <c r="E112" s="112" t="inlineStr">
        <is>
          <t>1. 未着手</t>
        </is>
      </c>
      <c r="F112" s="112" t="n"/>
      <c r="G112" s="112" t="n"/>
      <c r="H112" s="112" t="n"/>
      <c r="I112" s="112" t="n"/>
      <c r="J112" s="112" t="n"/>
      <c r="K112" s="112" t="n"/>
      <c r="L112" s="112" t="n"/>
      <c r="M112" s="113" t="n"/>
      <c r="N112" s="113" t="n"/>
      <c r="O112" s="113" t="n"/>
      <c r="P112" s="113" t="n"/>
      <c r="Q112" s="114">
        <f>SUM(M112:P112)</f>
        <v/>
      </c>
      <c r="R112" s="112" t="b">
        <v>0</v>
      </c>
      <c r="S112" s="112" t="b">
        <v>0</v>
      </c>
      <c r="T112" s="112" t="b">
        <v>0</v>
      </c>
      <c r="U112" s="112" t="b">
        <v>0</v>
      </c>
      <c r="V112" s="115" t="n"/>
      <c r="W112" s="115" t="n"/>
      <c r="X112" s="115" t="n"/>
      <c r="Y112" s="116" t="n"/>
      <c r="Z112" s="116" t="n"/>
    </row>
    <row r="113" ht="19" customHeight="1">
      <c r="A113" s="110" t="n">
        <v>108</v>
      </c>
      <c r="B113" s="111" t="inlineStr">
        <is>
          <t>企業108</t>
        </is>
      </c>
      <c r="C113" s="117" t="n"/>
      <c r="D113" s="117" t="n"/>
      <c r="E113" s="117" t="inlineStr">
        <is>
          <t>1. 未着手</t>
        </is>
      </c>
      <c r="F113" s="117" t="n"/>
      <c r="G113" s="117" t="n"/>
      <c r="H113" s="117" t="n"/>
      <c r="I113" s="117" t="n"/>
      <c r="J113" s="117" t="n"/>
      <c r="K113" s="117" t="n"/>
      <c r="L113" s="117" t="n"/>
      <c r="M113" s="118" t="n"/>
      <c r="N113" s="118" t="n"/>
      <c r="O113" s="118" t="n"/>
      <c r="P113" s="118" t="n"/>
      <c r="Q113" s="114">
        <f>SUM(M113:P113)</f>
        <v/>
      </c>
      <c r="R113" s="117" t="b">
        <v>0</v>
      </c>
      <c r="S113" s="117" t="b">
        <v>0</v>
      </c>
      <c r="T113" s="117" t="b">
        <v>0</v>
      </c>
      <c r="U113" s="117" t="b">
        <v>0</v>
      </c>
      <c r="V113" s="119" t="n"/>
      <c r="W113" s="119" t="n"/>
      <c r="X113" s="119" t="n"/>
      <c r="Y113" s="120" t="n"/>
      <c r="Z113" s="120" t="n"/>
    </row>
    <row r="114" ht="19" customHeight="1">
      <c r="A114" s="110" t="n">
        <v>109</v>
      </c>
      <c r="B114" s="111" t="inlineStr">
        <is>
          <t>企業109</t>
        </is>
      </c>
      <c r="C114" s="112" t="n"/>
      <c r="D114" s="112" t="n"/>
      <c r="E114" s="112" t="inlineStr">
        <is>
          <t>1. 未着手</t>
        </is>
      </c>
      <c r="F114" s="112" t="n"/>
      <c r="G114" s="112" t="n"/>
      <c r="H114" s="112" t="n"/>
      <c r="I114" s="112" t="n"/>
      <c r="J114" s="112" t="n"/>
      <c r="K114" s="112" t="n"/>
      <c r="L114" s="112" t="n"/>
      <c r="M114" s="113" t="n"/>
      <c r="N114" s="113" t="n"/>
      <c r="O114" s="113" t="n"/>
      <c r="P114" s="113" t="n"/>
      <c r="Q114" s="114">
        <f>SUM(M114:P114)</f>
        <v/>
      </c>
      <c r="R114" s="112" t="b">
        <v>0</v>
      </c>
      <c r="S114" s="112" t="b">
        <v>0</v>
      </c>
      <c r="T114" s="112" t="b">
        <v>0</v>
      </c>
      <c r="U114" s="112" t="b">
        <v>0</v>
      </c>
      <c r="V114" s="115" t="n"/>
      <c r="W114" s="115" t="n"/>
      <c r="X114" s="115" t="n"/>
      <c r="Y114" s="116" t="n"/>
      <c r="Z114" s="116" t="n"/>
    </row>
    <row r="115" ht="19" customHeight="1">
      <c r="A115" s="110" t="n">
        <v>110</v>
      </c>
      <c r="B115" s="111" t="inlineStr">
        <is>
          <t>企業110</t>
        </is>
      </c>
      <c r="C115" s="117" t="n"/>
      <c r="D115" s="117" t="n"/>
      <c r="E115" s="117" t="inlineStr">
        <is>
          <t>1. 未着手</t>
        </is>
      </c>
      <c r="F115" s="117" t="n"/>
      <c r="G115" s="117" t="n"/>
      <c r="H115" s="117" t="n"/>
      <c r="I115" s="117" t="n"/>
      <c r="J115" s="117" t="n"/>
      <c r="K115" s="117" t="n"/>
      <c r="L115" s="117" t="n"/>
      <c r="M115" s="118" t="n"/>
      <c r="N115" s="118" t="n"/>
      <c r="O115" s="118" t="n"/>
      <c r="P115" s="118" t="n"/>
      <c r="Q115" s="114">
        <f>SUM(M115:P115)</f>
        <v/>
      </c>
      <c r="R115" s="117" t="b">
        <v>0</v>
      </c>
      <c r="S115" s="117" t="b">
        <v>0</v>
      </c>
      <c r="T115" s="117" t="b">
        <v>0</v>
      </c>
      <c r="U115" s="117" t="b">
        <v>0</v>
      </c>
      <c r="V115" s="119" t="n"/>
      <c r="W115" s="119" t="n"/>
      <c r="X115" s="119" t="n"/>
      <c r="Y115" s="120" t="n"/>
      <c r="Z115" s="120" t="n"/>
    </row>
  </sheetData>
  <autoFilter ref="A4:Z115"/>
  <mergeCells count="3">
    <mergeCell ref="A1:Z1"/>
    <mergeCell ref="A3:Z3"/>
    <mergeCell ref="A2:Z2"/>
  </mergeCells>
  <conditionalFormatting sqref="E6:E115">
    <cfRule type="cellIs" priority="1" operator="equal" dxfId="8">
      <formula>"1. 未着手"</formula>
    </cfRule>
    <cfRule type="cellIs" priority="2" operator="equal" dxfId="9">
      <formula>"2. 引継ぎ中"</formula>
    </cfRule>
    <cfRule type="cellIs" priority="3" operator="equal" dxfId="10">
      <formula>"3. 初回計算"</formula>
    </cfRule>
    <cfRule type="cellIs" priority="4" operator="equal" dxfId="11">
      <formula>"4. 検証中"</formula>
    </cfRule>
    <cfRule type="cellIs" priority="5" operator="equal" dxfId="12">
      <formula>"5. 自走可能"</formula>
    </cfRule>
    <cfRule type="cellIs" priority="6" operator="equal" dxfId="13">
      <formula>"6. 完全移管"</formula>
    </cfRule>
  </conditionalFormatting>
  <conditionalFormatting sqref="R6:U115">
    <cfRule type="expression" priority="7" dxfId="13">
      <formula>OR(R6=TRUE,R6="TRUE")</formula>
    </cfRule>
  </conditionalFormatting>
  <conditionalFormatting sqref="D6:D115">
    <cfRule type="cellIs" priority="8" operator="equal" dxfId="14">
      <formula>"A：標準"</formula>
    </cfRule>
    <cfRule type="cellIs" priority="9" operator="equal" dxfId="15">
      <formula>"B：中程度"</formula>
    </cfRule>
    <cfRule type="cellIs" priority="10" operator="equal" dxfId="16">
      <formula>"C：複雑"</formula>
    </cfRule>
    <cfRule type="cellIs" priority="11" operator="equal" dxfId="17">
      <formula>"未判定"</formula>
    </cfRule>
  </conditionalFormatting>
  <conditionalFormatting sqref="F6:F115">
    <cfRule type="cellIs" priority="12" operator="equal" dxfId="18">
      <formula>"秘書チーム中心"</formula>
    </cfRule>
    <cfRule type="cellIs" priority="13" operator="equal" dxfId="19">
      <formula>"追加ワーカー中心"</formula>
    </cfRule>
    <cfRule type="cellIs" priority="14" operator="equal" dxfId="8">
      <formula>"未定"</formula>
    </cfRule>
  </conditionalFormatting>
  <conditionalFormatting sqref="V6:V115">
    <cfRule type="expression" priority="15" dxfId="12">
      <formula>$V6&lt;&gt;""</formula>
    </cfRule>
  </conditionalFormatting>
  <conditionalFormatting sqref="W6:W115">
    <cfRule type="expression" priority="16" dxfId="13">
      <formula>$W6&lt;&gt;""</formula>
    </cfRule>
  </conditionalFormatting>
  <conditionalFormatting sqref="X6:X115">
    <cfRule type="expression" priority="17" dxfId="20">
      <formula>$X6&lt;&gt;""</formula>
    </cfRule>
  </conditionalFormatting>
  <conditionalFormatting sqref="Y6:Y115">
    <cfRule type="expression" priority="18" dxfId="21">
      <formula>$Y6&lt;&gt;""</formula>
    </cfRule>
  </conditionalFormatting>
  <conditionalFormatting sqref="A6:B115">
    <cfRule type="expression" priority="19" dxfId="13">
      <formula>$X6&lt;&gt;""</formula>
    </cfRule>
  </conditionalFormatting>
  <conditionalFormatting sqref="Q6:Q115">
    <cfRule type="expression" priority="20" dxfId="22">
      <formula>$Q6=0</formula>
    </cfRule>
  </conditionalFormatting>
  <dataValidations count="9">
    <dataValidation sqref="C5:C115" showDropDown="0" showInputMessage="0" showErrorMessage="0" allowBlank="1" type="list">
      <formula1>"1：最優先,2：優先,3：通常,4：後回し,未定"</formula1>
    </dataValidation>
    <dataValidation sqref="D5:D115" showDropDown="0" showInputMessage="0" showErrorMessage="1" allowBlank="1" type="list">
      <formula1>"A：標準,B：中程度,C：複雑,未判定"</formula1>
    </dataValidation>
    <dataValidation sqref="E5:E115" showDropDown="0" showInputMessage="0" showErrorMessage="1" allowBlank="1" type="list">
      <formula1>"1. 未着手,2. 引継ぎ中,3. 初回計算,4. 検証中,5. 自走可能,6. 完全移管"</formula1>
    </dataValidation>
    <dataValidation sqref="F5:F115" showDropDown="0" showInputMessage="0" showErrorMessage="1" allowBlank="1" type="list">
      <formula1>"秘書チーム中心,追加ワーカー中心,未定"</formula1>
    </dataValidation>
    <dataValidation sqref="I5:I115" showDropDown="0" showInputMessage="0" showErrorMessage="0" allowBlank="1" type="list">
      <formula1>"セルズ給与,freee,マネーフォワード,弥生給与,Excel,顧客独自,その他,未確認"</formula1>
    </dataValidation>
    <dataValidation sqref="J5:J115" showDropDown="0" showInputMessage="0" showErrorMessage="0" allowBlank="1" type="list">
      <formula1>"KING OF TIME,ジョブカン,freee,マネーフォワード,Excel,タイムカード,顧客独自,その他,未確認"</formula1>
    </dataValidation>
    <dataValidation sqref="K5:K115" showDropDown="0" showInputMessage="0" showErrorMessage="0" allowBlank="1" type="list">
      <formula1>"末日,25日,20日,15日,10日,5日,その他,未確認"</formula1>
    </dataValidation>
    <dataValidation sqref="L5:L115" showDropDown="0" showInputMessage="0" showErrorMessage="0" allowBlank="1" type="list">
      <formula1>"当月25日,当月末日,翌月10日,翌月15日,翌月25日,その他,未確認"</formula1>
    </dataValidation>
    <dataValidation sqref="R5:U115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4" customWidth="1" min="4" max="4"/>
    <col width="9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キャパシティ・必要人数　試算（An-field様 給与計算業務 完全移管）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算出ロジック：会社別総工数 × 難易度 ÷ 担当者処理能力 → 必要人数・週あたり処理可能社数・月あたり移管可能件数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5" t="inlineStr">
        <is>
          <t>※本シートの件数・工数・人数はすべて【暫定計画値】です。会社別工数・実績確認後に更新してください（確定値ではありません）。</t>
        </is>
      </c>
      <c r="B3" s="6" t="n"/>
      <c r="C3" s="6" t="n"/>
      <c r="D3" s="6" t="n"/>
      <c r="E3" s="6" t="n"/>
      <c r="F3" s="6" t="n"/>
      <c r="G3" s="6" t="n"/>
      <c r="H3" s="6" t="n"/>
    </row>
    <row r="4" ht="18" customHeight="1">
      <c r="A4" s="7" t="inlineStr">
        <is>
          <t>【重要】10月＝完全移管ではありません。10月は「先行企業 実運用・対象企業拡大」フェーズです。</t>
        </is>
      </c>
      <c r="B4" s="8" t="n"/>
      <c r="C4" s="8" t="n"/>
      <c r="D4" s="8" t="n"/>
      <c r="E4" s="8" t="n"/>
      <c r="F4" s="8" t="n"/>
      <c r="G4" s="8" t="n"/>
      <c r="H4" s="8" t="n"/>
    </row>
    <row r="6" ht="22" customHeight="1">
      <c r="A6" s="121" t="inlineStr">
        <is>
          <t>①　入力項目（薄い黄色セルを入力 ／ すべて暫定値・要確認・実績入力後に再計算）</t>
        </is>
      </c>
      <c r="B6" s="122" t="n"/>
      <c r="C6" s="122" t="n"/>
      <c r="D6" s="122" t="n"/>
      <c r="E6" s="122" t="n"/>
      <c r="F6" s="122" t="n"/>
      <c r="G6" s="122" t="n"/>
      <c r="H6" s="122" t="n"/>
    </row>
    <row r="7" ht="22" customHeight="1">
      <c r="B7" s="15" t="inlineStr">
        <is>
          <t>項目</t>
        </is>
      </c>
      <c r="C7" s="60" t="n"/>
      <c r="D7" s="15" t="inlineStr">
        <is>
          <t>値</t>
        </is>
      </c>
      <c r="E7" s="15" t="inlineStr">
        <is>
          <t>単位</t>
        </is>
      </c>
      <c r="F7" s="15" t="inlineStr">
        <is>
          <t>説明・根拠</t>
        </is>
      </c>
      <c r="G7" s="60" t="n"/>
      <c r="H7" s="60" t="n"/>
    </row>
    <row r="8" ht="22" customHeight="1">
      <c r="B8" s="123" t="inlineStr">
        <is>
          <t>対象企業総数</t>
        </is>
      </c>
      <c r="C8" s="19" t="n"/>
      <c r="D8" s="124" t="n"/>
      <c r="E8" s="125" t="inlineStr">
        <is>
          <t>社</t>
        </is>
      </c>
      <c r="F8" s="126" t="inlineStr">
        <is>
          <t>【入力・空欄可】空欄の場合は案件進捗管理シートの企業名から自動集計します</t>
        </is>
      </c>
      <c r="G8" s="19" t="n"/>
      <c r="H8" s="19" t="n"/>
    </row>
    <row r="9" ht="22" customHeight="1">
      <c r="B9" s="123" t="inlineStr">
        <is>
          <t>会社別総工数（月・合計）</t>
        </is>
      </c>
      <c r="C9" s="19" t="n"/>
      <c r="D9" s="124" t="n"/>
      <c r="E9" s="125" t="inlineStr">
        <is>
          <t>h/月</t>
        </is>
      </c>
      <c r="F9" s="126" t="inlineStr">
        <is>
          <t>【入力・空欄可】空欄の場合は案件進捗管理シートの合計工数から自動集計します</t>
        </is>
      </c>
      <c r="G9" s="19" t="n"/>
      <c r="H9" s="19" t="n"/>
    </row>
    <row r="10" ht="22" customHeight="1">
      <c r="B10" s="123" t="inlineStr">
        <is>
          <t>秘書チーム人数</t>
        </is>
      </c>
      <c r="C10" s="19" t="n"/>
      <c r="D10" s="124" t="n">
        <v>3</v>
      </c>
      <c r="E10" s="125" t="inlineStr">
        <is>
          <t>名</t>
        </is>
      </c>
      <c r="F10" s="126" t="inlineStr">
        <is>
          <t>全体管理・顧客対応・資料回収・質問対応・高難易度計算・教育・品質管理・納品管理・欠員時の再配置</t>
        </is>
      </c>
      <c r="G10" s="19" t="n"/>
      <c r="H10" s="19" t="n"/>
    </row>
    <row r="11" ht="22" customHeight="1">
      <c r="B11" s="123" t="inlineStr">
        <is>
          <t>追加ワーカー人数</t>
        </is>
      </c>
      <c r="C11" s="19" t="n"/>
      <c r="D11" s="124" t="n">
        <v>2</v>
      </c>
      <c r="E11" s="125" t="inlineStr">
        <is>
          <t>名</t>
        </is>
      </c>
      <c r="F11" s="126" t="inlineStr">
        <is>
          <t>定型給与計算・チェックシートで自走可能な企業・手順が確立した業務</t>
        </is>
      </c>
      <c r="G11" s="19" t="n"/>
      <c r="H11" s="19" t="n"/>
    </row>
    <row r="12" ht="22" customHeight="1">
      <c r="B12" s="123" t="inlineStr">
        <is>
          <t>1人あたり週稼働可能時間</t>
        </is>
      </c>
      <c r="C12" s="19" t="n"/>
      <c r="D12" s="124" t="n">
        <v>30</v>
      </c>
      <c r="E12" s="125" t="inlineStr">
        <is>
          <t>h/週</t>
        </is>
      </c>
      <c r="F12" s="126" t="inlineStr">
        <is>
          <t>【暫定値・要確認】採用条件確定後に更新</t>
        </is>
      </c>
      <c r="G12" s="19" t="n"/>
      <c r="H12" s="19" t="n"/>
    </row>
    <row r="13" ht="22" customHeight="1">
      <c r="B13" s="123" t="inlineStr">
        <is>
          <t>管理業務比率</t>
        </is>
      </c>
      <c r="C13" s="19" t="n"/>
      <c r="D13" s="127" t="n">
        <v>0.2</v>
      </c>
      <c r="E13" s="125" t="inlineStr">
        <is>
          <t>％</t>
        </is>
      </c>
      <c r="F13" s="126" t="inlineStr">
        <is>
          <t>【暫定値】打合せ・報告・調整など、直接作業以外に充てる割合</t>
        </is>
      </c>
      <c r="G13" s="19" t="n"/>
      <c r="H13" s="19" t="n"/>
    </row>
    <row r="14" ht="22" customHeight="1">
      <c r="B14" s="123" t="inlineStr">
        <is>
          <t>教育工数（週・チーム全体）</t>
        </is>
      </c>
      <c r="C14" s="19" t="n"/>
      <c r="D14" s="124" t="n">
        <v>10</v>
      </c>
      <c r="E14" s="125" t="inlineStr">
        <is>
          <t>h/週</t>
        </is>
      </c>
      <c r="F14" s="126" t="inlineStr">
        <is>
          <t>【暫定値】追加ワーカー教育。処理可能工数から差し引く</t>
        </is>
      </c>
      <c r="G14" s="19" t="n"/>
      <c r="H14" s="19" t="n"/>
    </row>
    <row r="15" ht="22" customHeight="1">
      <c r="B15" s="123" t="inlineStr">
        <is>
          <t>品質確認工数（週・チーム全体）</t>
        </is>
      </c>
      <c r="C15" s="19" t="n"/>
      <c r="D15" s="124" t="n">
        <v>8</v>
      </c>
      <c r="E15" s="125" t="inlineStr">
        <is>
          <t>h/週</t>
        </is>
      </c>
      <c r="F15" s="126" t="inlineStr">
        <is>
          <t>【暫定値】秘書チームによるチェック。処理可能工数から差し引く</t>
        </is>
      </c>
      <c r="G15" s="19" t="n"/>
      <c r="H15" s="19" t="n"/>
    </row>
    <row r="16" ht="22" customHeight="1">
      <c r="B16" s="123" t="inlineStr">
        <is>
          <t>移管1社あたり追加工数</t>
        </is>
      </c>
      <c r="C16" s="19" t="n"/>
      <c r="D16" s="124" t="n">
        <v>6</v>
      </c>
      <c r="E16" s="125" t="inlineStr">
        <is>
          <t>h/社</t>
        </is>
      </c>
      <c r="F16" s="126" t="inlineStr">
        <is>
          <t>【暫定値】引継ぎ・レクチャー・テスト計算・検証にかかる初期工数。月あたり移管可能件数の算定に使用</t>
        </is>
      </c>
      <c r="G16" s="19" t="n"/>
      <c r="H16" s="19" t="n"/>
    </row>
    <row r="17" ht="22" customHeight="1">
      <c r="B17" s="123" t="inlineStr">
        <is>
          <t>難易度係数　A：標準</t>
        </is>
      </c>
      <c r="C17" s="19" t="n"/>
      <c r="D17" s="124" t="n">
        <v>1</v>
      </c>
      <c r="E17" s="125" t="inlineStr">
        <is>
          <t>倍</t>
        </is>
      </c>
      <c r="F17" s="126" t="inlineStr">
        <is>
          <t>【暫定値】9/27までに基準確定。実績入力後に再計算</t>
        </is>
      </c>
      <c r="G17" s="19" t="n"/>
      <c r="H17" s="19" t="n"/>
    </row>
    <row r="18" ht="22" customHeight="1">
      <c r="B18" s="123" t="inlineStr">
        <is>
          <t>難易度係数　B：中程度</t>
        </is>
      </c>
      <c r="C18" s="19" t="n"/>
      <c r="D18" s="124" t="n">
        <v>1.3</v>
      </c>
      <c r="E18" s="125" t="inlineStr">
        <is>
          <t>倍</t>
        </is>
      </c>
      <c r="F18" s="126" t="inlineStr">
        <is>
          <t>【暫定値】難易度未判定の企業にもこの係数を適用</t>
        </is>
      </c>
      <c r="G18" s="19" t="n"/>
      <c r="H18" s="19" t="n"/>
    </row>
    <row r="19" ht="22" customHeight="1">
      <c r="B19" s="123" t="inlineStr">
        <is>
          <t>難易度係数　C：複雑</t>
        </is>
      </c>
      <c r="C19" s="19" t="n"/>
      <c r="D19" s="124" t="n">
        <v>1.7</v>
      </c>
      <c r="E19" s="125" t="inlineStr">
        <is>
          <t>倍</t>
        </is>
      </c>
      <c r="F19" s="126" t="inlineStr">
        <is>
          <t>【暫定値】特殊ルール・例外処理が多い企業</t>
        </is>
      </c>
      <c r="G19" s="19" t="n"/>
      <c r="H19" s="19" t="n"/>
    </row>
    <row r="20" ht="22" customHeight="1">
      <c r="B20" s="123" t="inlineStr">
        <is>
          <t>月換算係数（週→月）</t>
        </is>
      </c>
      <c r="C20" s="19" t="n"/>
      <c r="D20" s="128" t="n">
        <v>4.33</v>
      </c>
      <c r="E20" s="125" t="inlineStr">
        <is>
          <t>週/月</t>
        </is>
      </c>
      <c r="F20" s="126" t="inlineStr">
        <is>
          <t>1ヶ月＝約4.33週</t>
        </is>
      </c>
      <c r="G20" s="19" t="n"/>
      <c r="H20" s="19" t="n"/>
    </row>
    <row r="21" ht="7" customHeight="1"/>
    <row r="22" ht="22" customHeight="1">
      <c r="A22" s="121" t="inlineStr">
        <is>
          <t>②　自動計算（グレーのセル ／ 入力値と案件進捗管理シートから算出）</t>
        </is>
      </c>
      <c r="B22" s="122" t="n"/>
      <c r="C22" s="122" t="n"/>
      <c r="D22" s="122" t="n"/>
      <c r="E22" s="122" t="n"/>
      <c r="F22" s="122" t="n"/>
      <c r="G22" s="122" t="n"/>
      <c r="H22" s="122" t="n"/>
    </row>
    <row r="23" ht="22" customHeight="1">
      <c r="B23" s="15" t="inlineStr">
        <is>
          <t>項目</t>
        </is>
      </c>
      <c r="C23" s="60" t="n"/>
      <c r="D23" s="15" t="inlineStr">
        <is>
          <t>値</t>
        </is>
      </c>
      <c r="E23" s="15" t="inlineStr">
        <is>
          <t>単位</t>
        </is>
      </c>
      <c r="F23" s="15" t="inlineStr">
        <is>
          <t>計算式・考え方</t>
        </is>
      </c>
      <c r="G23" s="60" t="n"/>
      <c r="H23" s="60" t="n"/>
    </row>
    <row r="24" ht="22" customHeight="1">
      <c r="B24" s="123" t="inlineStr">
        <is>
          <t>対象企業総数（採用値）</t>
        </is>
      </c>
      <c r="C24" s="19" t="n"/>
      <c r="D24" s="129">
        <f>IF('キャパシティ・必要人数'!$D$8="",COUNTA('案件進捗管理'!$B$6:$B$115),'キャパシティ・必要人数'!$D$8)</f>
        <v/>
      </c>
      <c r="E24" s="125" t="inlineStr">
        <is>
          <t>社</t>
        </is>
      </c>
      <c r="F24" s="126" t="inlineStr">
        <is>
          <t>入力欄が空欄なら案件進捗管理シートから自動集計</t>
        </is>
      </c>
      <c r="G24" s="19" t="n"/>
      <c r="H24" s="19" t="n"/>
    </row>
    <row r="25" ht="22" customHeight="1">
      <c r="B25" s="123" t="inlineStr">
        <is>
          <t>会社別総工数（採用値・月）</t>
        </is>
      </c>
      <c r="C25" s="19" t="n"/>
      <c r="D25" s="130">
        <f>IF('キャパシティ・必要人数'!$D$9="",SUM('案件進捗管理'!$Q$6:$Q$115),'キャパシティ・必要人数'!$D$9)</f>
        <v/>
      </c>
      <c r="E25" s="125" t="inlineStr">
        <is>
          <t>h</t>
        </is>
      </c>
      <c r="F25" s="126" t="inlineStr">
        <is>
          <t>入力欄が空欄なら各社の合計工数（給与計算＋資料回収＋顧客対応＋質問対応）を合計</t>
        </is>
      </c>
      <c r="G25" s="19" t="n"/>
      <c r="H25" s="19" t="n"/>
    </row>
    <row r="26" ht="22" customHeight="1">
      <c r="B26" s="131" t="inlineStr">
        <is>
          <t>総必要工数（月・難易度調整後）</t>
        </is>
      </c>
      <c r="C26" s="132" t="n"/>
      <c r="D26" s="133">
        <f>SUMIF('案件進捗管理'!$D$6:$D$115,"A：標準",'案件進捗管理'!$Q$6:$Q$115)*'キャパシティ・必要人数'!$D$17+SUMIF('案件進捗管理'!$D$6:$D$115,"B：中程度",'案件進捗管理'!$Q$6:$Q$115)*'キャパシティ・必要人数'!$D$18+SUMIF('案件進捗管理'!$D$6:$D$115,"C：複雑",'案件進捗管理'!$Q$6:$Q$115)*'キャパシティ・必要人数'!$D$19+MAX(0,'キャパシティ・必要人数'!$D$25-SUMIF('案件進捗管理'!$D$6:$D$115,"A：標準",'案件進捗管理'!$Q$6:$Q$115)-SUMIF('案件進捗管理'!$D$6:$D$115,"B：中程度",'案件進捗管理'!$Q$6:$Q$115)-SUMIF('案件進捗管理'!$D$6:$D$115,"C：複雑",'案件進捗管理'!$Q$6:$Q$115))*'キャパシティ・必要人数'!$D$18</f>
        <v/>
      </c>
      <c r="E26" s="125" t="inlineStr">
        <is>
          <t>h</t>
        </is>
      </c>
      <c r="F26" s="126" t="inlineStr">
        <is>
          <t>会社別総工数 × 難易度係数。難易度未判定の企業はB係数で暫定計上</t>
        </is>
      </c>
      <c r="G26" s="19" t="n"/>
      <c r="H26" s="19" t="n"/>
    </row>
    <row r="27" ht="22" customHeight="1">
      <c r="B27" s="123" t="inlineStr">
        <is>
          <t>現在移管済み工数（月）</t>
        </is>
      </c>
      <c r="C27" s="19" t="n"/>
      <c r="D27" s="130">
        <f>SUMIFS('案件進捗管理'!$Q$6:$Q$115,'案件進捗管理'!$V$6:$V$115,"&gt;0")</f>
        <v/>
      </c>
      <c r="E27" s="125" t="inlineStr">
        <is>
          <t>h</t>
        </is>
      </c>
      <c r="F27" s="126" t="inlineStr">
        <is>
          <t>実運用開始日が入力済みの企業の工数合計</t>
        </is>
      </c>
      <c r="G27" s="19" t="n"/>
      <c r="H27" s="19" t="n"/>
    </row>
    <row r="28" ht="22" customHeight="1">
      <c r="B28" s="123" t="inlineStr">
        <is>
          <t>残工数（月）</t>
        </is>
      </c>
      <c r="C28" s="19" t="n"/>
      <c r="D28" s="130">
        <f>'キャパシティ・必要人数'!$D$25-'キャパシティ・必要人数'!$D$27</f>
        <v/>
      </c>
      <c r="E28" s="125" t="inlineStr">
        <is>
          <t>h</t>
        </is>
      </c>
      <c r="F28" s="126" t="inlineStr">
        <is>
          <t>会社別総工数 − 現在移管済み工数</t>
        </is>
      </c>
      <c r="G28" s="19" t="n"/>
      <c r="H28" s="19" t="n"/>
    </row>
    <row r="29" ht="22" customHeight="1">
      <c r="B29" s="123" t="inlineStr">
        <is>
          <t>1人あたり週有効稼働時間</t>
        </is>
      </c>
      <c r="C29" s="19" t="n"/>
      <c r="D29" s="130">
        <f>'キャパシティ・必要人数'!$D$12*(1-'キャパシティ・必要人数'!$D$13)</f>
        <v/>
      </c>
      <c r="E29" s="125" t="inlineStr">
        <is>
          <t>h</t>
        </is>
      </c>
      <c r="F29" s="126" t="inlineStr">
        <is>
          <t>週稼働可能時間 ×（1 − 管理業務比率）</t>
        </is>
      </c>
      <c r="G29" s="19" t="n"/>
      <c r="H29" s="19" t="n"/>
    </row>
    <row r="30" ht="22" customHeight="1">
      <c r="B30" s="123" t="inlineStr">
        <is>
          <t>1人あたり処理可能工数（月）</t>
        </is>
      </c>
      <c r="C30" s="19" t="n"/>
      <c r="D30" s="130">
        <f>'キャパシティ・必要人数'!$D$29*'キャパシティ・必要人数'!$D$20</f>
        <v/>
      </c>
      <c r="E30" s="125" t="inlineStr">
        <is>
          <t>h</t>
        </is>
      </c>
      <c r="F30" s="126" t="inlineStr">
        <is>
          <t>1人あたり週有効稼働時間 × 月換算係数</t>
        </is>
      </c>
      <c r="G30" s="19" t="n"/>
      <c r="H30" s="19" t="n"/>
    </row>
    <row r="31" ht="22" customHeight="1">
      <c r="B31" s="123" t="inlineStr">
        <is>
          <t>週あたり処理可能工数（チーム）</t>
        </is>
      </c>
      <c r="C31" s="19" t="n"/>
      <c r="D31" s="130">
        <f>('キャパシティ・必要人数'!$D$10+'キャパシティ・必要人数'!$D$11)*'キャパシティ・必要人数'!$D$29-'キャパシティ・必要人数'!$D$14-'キャパシティ・必要人数'!$D$15</f>
        <v/>
      </c>
      <c r="E31" s="125" t="inlineStr">
        <is>
          <t>h</t>
        </is>
      </c>
      <c r="F31" s="126" t="inlineStr">
        <is>
          <t>（秘書＋ワーカー）× 週有効稼働時間 − 教育工数 − 品質確認工数</t>
        </is>
      </c>
      <c r="G31" s="19" t="n"/>
      <c r="H31" s="19" t="n"/>
    </row>
    <row r="32" ht="22" customHeight="1">
      <c r="B32" s="123" t="inlineStr">
        <is>
          <t>月あたり処理可能工数（チーム）</t>
        </is>
      </c>
      <c r="C32" s="19" t="n"/>
      <c r="D32" s="130">
        <f>'キャパシティ・必要人数'!$D$31*'キャパシティ・必要人数'!$D$20</f>
        <v/>
      </c>
      <c r="E32" s="125" t="inlineStr">
        <is>
          <t>h</t>
        </is>
      </c>
      <c r="F32" s="126" t="inlineStr">
        <is>
          <t>週あたり処理可能工数 × 月換算係数</t>
        </is>
      </c>
      <c r="G32" s="19" t="n"/>
      <c r="H32" s="19" t="n"/>
    </row>
    <row r="33" ht="22" customHeight="1">
      <c r="B33" s="123" t="inlineStr">
        <is>
          <t>1社あたり平均工数（難易度調整後）</t>
        </is>
      </c>
      <c r="C33" s="19" t="n"/>
      <c r="D33" s="130">
        <f>IF(COUNTIF('案件進捗管理'!$Q$6:$Q$115,"&gt;0")=0,"",'キャパシティ・必要人数'!$D$26/COUNTIF('案件進捗管理'!$Q$6:$Q$115,"&gt;0"))</f>
        <v/>
      </c>
      <c r="E33" s="125" t="inlineStr">
        <is>
          <t>h</t>
        </is>
      </c>
      <c r="F33" s="126" t="inlineStr">
        <is>
          <t>総必要工数 ÷ 工数入力済み社数。※工数未入力の社が多いうちは参考値（要確認）</t>
        </is>
      </c>
      <c r="G33" s="19" t="n"/>
      <c r="H33" s="19" t="n"/>
    </row>
    <row r="34" ht="22" customHeight="1">
      <c r="B34" s="131" t="inlineStr">
        <is>
          <t>現在人数で処理可能な企業数</t>
        </is>
      </c>
      <c r="C34" s="132" t="n"/>
      <c r="D34" s="134">
        <f>IF('キャパシティ・必要人数'!$D$33="","",ROUNDDOWN('キャパシティ・必要人数'!$D$32/'キャパシティ・必要人数'!$D$33,0))</f>
        <v/>
      </c>
      <c r="E34" s="125" t="inlineStr">
        <is>
          <t>社</t>
        </is>
      </c>
      <c r="F34" s="126" t="inlineStr">
        <is>
          <t>月あたり処理可能工数 ÷ 1社あたり平均工数（＝維持できる社数）</t>
        </is>
      </c>
      <c r="G34" s="19" t="n"/>
      <c r="H34" s="19" t="n"/>
    </row>
    <row r="35" ht="22" customHeight="1">
      <c r="B35" s="131" t="inlineStr">
        <is>
          <t>週あたり処理可能社数</t>
        </is>
      </c>
      <c r="C35" s="132" t="n"/>
      <c r="D35" s="135">
        <f>IF('キャパシティ・必要人数'!$D$33="","",'キャパシティ・必要人数'!$D$31/'キャパシティ・必要人数'!$D$33)</f>
        <v/>
      </c>
      <c r="E35" s="125" t="inlineStr">
        <is>
          <t>社/週</t>
        </is>
      </c>
      <c r="F35" s="126" t="inlineStr">
        <is>
          <t>週あたり処理可能工数 ÷ 1社あたり平均工数</t>
        </is>
      </c>
      <c r="G35" s="19" t="n"/>
      <c r="H35" s="19" t="n"/>
    </row>
    <row r="36" ht="22" customHeight="1">
      <c r="B36" s="131" t="inlineStr">
        <is>
          <t>月あたり移管可能件数</t>
        </is>
      </c>
      <c r="C36" s="132" t="n"/>
      <c r="D36" s="136">
        <f>IF('キャパシティ・必要人数'!$D$33="","",MAX(0,ROUNDDOWN(('キャパシティ・必要人数'!$D$32-'キャパシティ・必要人数'!$D$27)/('キャパシティ・必要人数'!$D$33+'キャパシティ・必要人数'!$D$16),0)))</f>
        <v/>
      </c>
      <c r="E36" s="125" t="inlineStr">
        <is>
          <t>社/月</t>
        </is>
      </c>
      <c r="F36" s="126" t="inlineStr">
        <is>
          <t>（月あたり処理可能工数 − 現在移管済み工数）÷（1社あたり平均工数 ＋ 移管1社あたり追加工数）</t>
        </is>
      </c>
      <c r="G36" s="19" t="n"/>
      <c r="H36" s="19" t="n"/>
    </row>
    <row r="37" ht="22" customHeight="1">
      <c r="B37" s="131" t="inlineStr">
        <is>
          <t>1人あたり処理可能社数（月）</t>
        </is>
      </c>
      <c r="C37" s="132" t="n"/>
      <c r="D37" s="137">
        <f>IF('キャパシティ・必要人数'!$D$33="","",'キャパシティ・必要人数'!$D$30/'キャパシティ・必要人数'!$D$33)</f>
        <v/>
      </c>
      <c r="E37" s="125" t="inlineStr">
        <is>
          <t>社/人</t>
        </is>
      </c>
      <c r="F37" s="126" t="inlineStr">
        <is>
          <t>1人あたり処理可能工数（月）÷ 1社あたり平均工数</t>
        </is>
      </c>
      <c r="G37" s="19" t="n"/>
      <c r="H37" s="19" t="n"/>
    </row>
    <row r="38" ht="22" customHeight="1">
      <c r="B38" s="131" t="inlineStr">
        <is>
          <t>必要追加人数</t>
        </is>
      </c>
      <c r="C38" s="132" t="n"/>
      <c r="D38" s="138">
        <f>IF('キャパシティ・必要人数'!$D$26=0,"",MAX(0,ROUNDUP(('キャパシティ・必要人数'!$D$26-'キャパシティ・必要人数'!$D$32)/'キャパシティ・必要人数'!$D$30,0)))</f>
        <v/>
      </c>
      <c r="E38" s="125" t="inlineStr">
        <is>
          <t>名</t>
        </is>
      </c>
      <c r="F38" s="126" t="inlineStr">
        <is>
          <t>（総必要工数 − 月あたり処理可能工数）÷ 1人あたり処理可能工数（月）</t>
        </is>
      </c>
      <c r="G38" s="19" t="n"/>
      <c r="H38" s="19" t="n"/>
    </row>
    <row r="39" ht="22" customHeight="1">
      <c r="B39" s="123" t="inlineStr">
        <is>
          <t>現在の移管ペース（社/週）</t>
        </is>
      </c>
      <c r="C39" s="19" t="n"/>
      <c r="D39" s="139">
        <f>IF(TODAY()&lt;DATE(2026,9,9),"",COUNTIFS('案件進捗管理'!$V$6:$V$115,"&gt;0")/MIN(8,MAX(1,ROUNDDOWN((TODAY()-DATE(2026,9,9))/7,0)+1)))</f>
        <v/>
      </c>
      <c r="E39" s="125" t="inlineStr">
        <is>
          <t>社/週</t>
        </is>
      </c>
      <c r="F39" s="126" t="inlineStr">
        <is>
          <t>実運用開始済み社数 ÷ 9/9からの経過週数（最大8週）</t>
        </is>
      </c>
      <c r="G39" s="19" t="n"/>
      <c r="H39" s="19" t="n"/>
    </row>
    <row r="40" ht="22" customHeight="1">
      <c r="B40" s="123" t="inlineStr">
        <is>
          <t>完全移管までの残社数</t>
        </is>
      </c>
      <c r="C40" s="19" t="n"/>
      <c r="D40" s="129">
        <f>'キャパシティ・必要人数'!$D$24-COUNTIFS('案件進捗管理'!$X$6:$X$115,"&gt;0")</f>
        <v/>
      </c>
      <c r="E40" s="125" t="inlineStr">
        <is>
          <t>社</t>
        </is>
      </c>
      <c r="F40" s="126" t="inlineStr">
        <is>
          <t>対象企業総数 − 完全移管日が入力済みの社数</t>
        </is>
      </c>
      <c r="G40" s="19" t="n"/>
      <c r="H40" s="19" t="n"/>
    </row>
    <row r="42" ht="22" customHeight="1">
      <c r="A42" s="121" t="inlineStr">
        <is>
          <t>③　体制判定（自動）</t>
        </is>
      </c>
      <c r="B42" s="122" t="n"/>
      <c r="C42" s="122" t="n"/>
      <c r="D42" s="122" t="n"/>
      <c r="E42" s="122" t="n"/>
      <c r="F42" s="122" t="n"/>
      <c r="G42" s="122" t="n"/>
      <c r="H42" s="122" t="n"/>
    </row>
    <row r="43" ht="24" customHeight="1">
      <c r="B43" s="140">
        <f>IF('キャパシティ・必要人数'!$D$26=0,"要確認：会社別工数が未入力のため判定できません（案件進捗管理シートに工数を入力してください）",IF('キャパシティ・必要人数'!$D$38=0,"OK：現在の人員（"&amp;('キャパシティ・必要人数'!$D$10+'キャパシティ・必要人数'!$D$11)&amp;"名）で対象企業を処理可能な試算です　／月あたり移管可能件数 "&amp;'キャパシティ・必要人数'!$D$36&amp;" 社","要増員：追加 "&amp;'キャパシティ・必要人数'!$D$38&amp;"名が必要（暫定試算）　現在人数で処理可能なのは "&amp;'キャパシティ・必要人数'!$D$34&amp;" 社／月あたり移管可能件数 "&amp;'キャパシティ・必要人数'!$D$36&amp;" 社"))</f>
        <v/>
      </c>
      <c r="C43" s="41" t="n"/>
      <c r="D43" s="41" t="n"/>
      <c r="E43" s="41" t="n"/>
      <c r="F43" s="41" t="n"/>
      <c r="G43" s="41" t="n"/>
      <c r="H43" s="41" t="n"/>
    </row>
    <row r="44" ht="24" customHeight="1">
      <c r="B44" s="41" t="n"/>
      <c r="C44" s="41" t="n"/>
      <c r="D44" s="41" t="n"/>
      <c r="E44" s="41" t="n"/>
      <c r="F44" s="41" t="n"/>
      <c r="G44" s="41" t="n"/>
      <c r="H44" s="41" t="n"/>
    </row>
    <row r="46" ht="28" customHeight="1">
      <c r="A46" s="40" t="inlineStr">
        <is>
          <t>【このシートの使い方】件数ありきではなく工数ベースで計画します。「対象企業総数」「会社別総工数」は空欄のままにすると案件進捗管理シートから自動集計され、数値を入力するとその値が優先されます（採用値は②に表示）。</t>
        </is>
      </c>
      <c r="B46" s="41" t="n"/>
      <c r="C46" s="41" t="n"/>
      <c r="D46" s="41" t="n"/>
      <c r="E46" s="41" t="n"/>
      <c r="F46" s="41" t="n"/>
      <c r="G46" s="41" t="n"/>
      <c r="H46" s="41" t="n"/>
    </row>
    <row r="47" ht="32" customHeight="1">
      <c r="A47" s="39" t="inlineStr">
        <is>
          <t>【必要人数・処理可能社数・移管可能件数の関係】必要人数＝(総必要工数−月あたり処理可能工数)÷1人あたり処理可能工数　／　週あたり処理可能社数＝週あたり処理可能工数÷1社あたり平均工数　／　月あたり移管可能件数＝(月あたり処理可能工数−移管済み工数)÷(1社あたり平均工数＋移管1社あたり追加工数)</t>
        </is>
      </c>
      <c r="B47" s="14" t="n"/>
      <c r="C47" s="14" t="n"/>
      <c r="D47" s="14" t="n"/>
      <c r="E47" s="14" t="n"/>
      <c r="F47" s="14" t="n"/>
      <c r="G47" s="14" t="n"/>
      <c r="H47" s="14" t="n"/>
    </row>
    <row r="48" ht="28" customHeight="1">
      <c r="A48" s="105" t="inlineStr">
        <is>
          <t>【再計算のタイミング】①9/20 先行企業の実工数計測後　②9/27 難易度A/B/C基準確定後　③10/18 会社別工数再計測後　④10/25 処理能力再計算・追加採用要否判定時。各時点で入力値を更新すると全ての試算が自動で再計算されます。</t>
        </is>
      </c>
      <c r="B48" s="43" t="n"/>
      <c r="C48" s="43" t="n"/>
      <c r="D48" s="43" t="n"/>
      <c r="E48" s="43" t="n"/>
      <c r="F48" s="43" t="n"/>
      <c r="G48" s="43" t="n"/>
      <c r="H48" s="43" t="n"/>
    </row>
    <row r="49" ht="28" customHeight="1">
      <c r="A49" s="141" t="inlineStr">
        <is>
          <t>【暫定値・要確認】難易度係数・週稼働可能時間・管理業務比率・教育工数・品質確認工数・移管1社あたり追加工数はすべて暫定値です。実績が出るまで必要追加人数も暫定試算であり、確定値ではありません（実績入力後に再計算）。</t>
        </is>
      </c>
      <c r="B49" s="142" t="n"/>
      <c r="C49" s="142" t="n"/>
      <c r="D49" s="142" t="n"/>
      <c r="E49" s="142" t="n"/>
      <c r="F49" s="142" t="n"/>
      <c r="G49" s="142" t="n"/>
      <c r="H49" s="142" t="n"/>
    </row>
  </sheetData>
  <mergeCells count="80">
    <mergeCell ref="F36:H36"/>
    <mergeCell ref="F18:H18"/>
    <mergeCell ref="F33:H33"/>
    <mergeCell ref="E7"/>
    <mergeCell ref="F8:H8"/>
    <mergeCell ref="A49:H49"/>
    <mergeCell ref="F17:H17"/>
    <mergeCell ref="B31:C31"/>
    <mergeCell ref="A6:H6"/>
    <mergeCell ref="D23"/>
    <mergeCell ref="B12:C12"/>
    <mergeCell ref="F31:H31"/>
    <mergeCell ref="B14:C14"/>
    <mergeCell ref="F9:H9"/>
    <mergeCell ref="F39:H39"/>
    <mergeCell ref="B13:C13"/>
    <mergeCell ref="A3:H3"/>
    <mergeCell ref="B38:C38"/>
    <mergeCell ref="F14:H14"/>
    <mergeCell ref="B40:C40"/>
    <mergeCell ref="B24:C24"/>
    <mergeCell ref="B33:C33"/>
    <mergeCell ref="B32:C32"/>
    <mergeCell ref="F12:H12"/>
    <mergeCell ref="B26:C26"/>
    <mergeCell ref="F7:H7"/>
    <mergeCell ref="B35:C35"/>
    <mergeCell ref="B16:C16"/>
    <mergeCell ref="B25:C25"/>
    <mergeCell ref="F35:H35"/>
    <mergeCell ref="B18:C18"/>
    <mergeCell ref="B27:C27"/>
    <mergeCell ref="B11:C11"/>
    <mergeCell ref="F27:H27"/>
    <mergeCell ref="B29:C29"/>
    <mergeCell ref="A2:H2"/>
    <mergeCell ref="B37:C37"/>
    <mergeCell ref="A42:H42"/>
    <mergeCell ref="A47:H47"/>
    <mergeCell ref="F29:H29"/>
    <mergeCell ref="F11:H11"/>
    <mergeCell ref="A22:H22"/>
    <mergeCell ref="F25:H25"/>
    <mergeCell ref="B15:C15"/>
    <mergeCell ref="D7"/>
    <mergeCell ref="F40:H40"/>
    <mergeCell ref="F15:H15"/>
    <mergeCell ref="F24:H24"/>
    <mergeCell ref="A48:H48"/>
    <mergeCell ref="B7:C7"/>
    <mergeCell ref="F32:H32"/>
    <mergeCell ref="B43:H44"/>
    <mergeCell ref="F26:H26"/>
    <mergeCell ref="F23:H23"/>
    <mergeCell ref="F38:H38"/>
    <mergeCell ref="F13:H13"/>
    <mergeCell ref="B17:C17"/>
    <mergeCell ref="F37:H37"/>
    <mergeCell ref="E23"/>
    <mergeCell ref="B19:C19"/>
    <mergeCell ref="B34:C34"/>
    <mergeCell ref="B28:C28"/>
    <mergeCell ref="B9:C9"/>
    <mergeCell ref="F34:H34"/>
    <mergeCell ref="F16:H16"/>
    <mergeCell ref="B30:C30"/>
    <mergeCell ref="B20:C20"/>
    <mergeCell ref="F30:H30"/>
    <mergeCell ref="F20:H20"/>
    <mergeCell ref="A1:H1"/>
    <mergeCell ref="B39:C39"/>
    <mergeCell ref="F28:H28"/>
    <mergeCell ref="B23:C23"/>
    <mergeCell ref="A46:H46"/>
    <mergeCell ref="B8:C8"/>
    <mergeCell ref="B10:C10"/>
    <mergeCell ref="A4:H4"/>
    <mergeCell ref="F10:H10"/>
    <mergeCell ref="F19:H19"/>
    <mergeCell ref="B36:C36"/>
  </mergeCells>
  <conditionalFormatting sqref="B43:H44">
    <cfRule type="expression" priority="1" dxfId="23">
      <formula>ISNUMBER(SEARCH("要増員",$B$43))</formula>
    </cfRule>
    <cfRule type="expression" priority="2" dxfId="24">
      <formula>ISNUMBER(SEARCH("要確認",$B$43))</formula>
    </cfRule>
    <cfRule type="expression" priority="3" dxfId="25">
      <formula>ISNUMBER(SEARCH("OK：",$B$43))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1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34" customHeight="1">
      <c r="A1" s="1" t="inlineStr">
        <is>
          <t>KPI ダッシュボード（An-field様 給与計算業務 完全移管）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>進捗は3軸で評価します：①件数進捗（各ステータス到達社数）②工数進捗（移管できた工数）③自走進捗（An-field様の日常的な確認なしで運用できる社数）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18" customHeight="1">
      <c r="A3" s="5" t="inlineStr">
        <is>
          <t>※本シートの件数・工数・人数はすべて【暫定計画値】です。会社別工数・実績確認後に更新してください（確定値ではありません）。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</row>
    <row r="4" ht="18" customHeight="1">
      <c r="A4" s="7" t="inlineStr">
        <is>
          <t>【重要】10月＝完全移管ではありません。10月は「先行企業 実運用・対象企業拡大」フェーズです。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</row>
    <row r="6" ht="22" customHeight="1">
      <c r="A6" s="121" t="inlineStr">
        <is>
          <t>①　KPIサマリー（自動集計 ／ 集計元：案件進捗管理・キャパシティ・週間スケジュール）</t>
        </is>
      </c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2" t="n"/>
      <c r="O6" s="122" t="n"/>
      <c r="P6" s="122" t="n"/>
      <c r="Q6" s="122" t="n"/>
      <c r="R6" s="122" t="n"/>
      <c r="S6" s="122" t="n"/>
      <c r="T6" s="122" t="n"/>
    </row>
    <row r="7" ht="28" customHeight="1">
      <c r="B7" s="143" t="inlineStr">
        <is>
          <t>総企業数</t>
        </is>
      </c>
      <c r="C7" s="144" t="n"/>
      <c r="D7" s="144" t="n"/>
      <c r="E7" s="145" t="n"/>
      <c r="G7" s="143" t="inlineStr">
        <is>
          <t>情報整理済み企業数</t>
        </is>
      </c>
      <c r="H7" s="144" t="n"/>
      <c r="I7" s="144" t="n"/>
      <c r="J7" s="145" t="n"/>
      <c r="L7" s="143" t="inlineStr">
        <is>
          <t>引継ぎ中企業数</t>
        </is>
      </c>
      <c r="M7" s="144" t="n"/>
      <c r="N7" s="144" t="n"/>
      <c r="O7" s="145" t="n"/>
      <c r="Q7" s="143" t="inlineStr">
        <is>
          <t>初回計算済み企業数</t>
        </is>
      </c>
      <c r="R7" s="144" t="n"/>
      <c r="S7" s="144" t="n"/>
      <c r="T7" s="145" t="n"/>
    </row>
    <row r="8" ht="34" customHeight="1">
      <c r="B8" s="146">
        <f>COUNTA('案件進捗管理'!$B$6:$B$115)</f>
        <v/>
      </c>
      <c r="C8" s="147" t="n"/>
      <c r="D8" s="147" t="n"/>
      <c r="E8" s="148" t="n"/>
      <c r="G8" s="146">
        <f>SUMPRODUCT(('案件進捗管理'!$D$6:$D$115&lt;&gt;"")*('案件進捗管理'!$D$6:$D$115&lt;&gt;"未判定")*('案件進捗管理'!$Q$6:$Q$115&gt;0))</f>
        <v/>
      </c>
      <c r="H8" s="147" t="n"/>
      <c r="I8" s="147" t="n"/>
      <c r="J8" s="148" t="n"/>
      <c r="L8" s="146">
        <f>COUNTIF('案件進捗管理'!$E$6:$E$115,"2. 引継ぎ中")</f>
        <v/>
      </c>
      <c r="M8" s="147" t="n"/>
      <c r="N8" s="147" t="n"/>
      <c r="O8" s="148" t="n"/>
      <c r="Q8" s="146">
        <f>SUMPRODUCT((('案件進捗管理'!$T$6:$T$115=TRUE)+('案件進捗管理'!$T$6:$T$115="TRUE")&gt;0)*1)</f>
        <v/>
      </c>
      <c r="R8" s="147" t="n"/>
      <c r="S8" s="147" t="n"/>
      <c r="T8" s="148" t="n"/>
    </row>
    <row r="9" ht="22" customHeight="1">
      <c r="B9" s="149" t="inlineStr">
        <is>
          <t>対象 100〜110社</t>
        </is>
      </c>
      <c r="C9" s="150" t="n"/>
      <c r="D9" s="150" t="n"/>
      <c r="E9" s="151" t="n"/>
      <c r="G9" s="149" t="inlineStr">
        <is>
          <t>難易度が判定され、工数が入力済みの社数</t>
        </is>
      </c>
      <c r="H9" s="150" t="n"/>
      <c r="I9" s="150" t="n"/>
      <c r="J9" s="151" t="n"/>
      <c r="L9" s="149" t="inlineStr">
        <is>
          <t>ステータス＝2. 引継ぎ中</t>
        </is>
      </c>
      <c r="M9" s="150" t="n"/>
      <c r="N9" s="150" t="n"/>
      <c r="O9" s="151" t="n"/>
      <c r="Q9" s="149" t="inlineStr">
        <is>
          <t>初回計算完了にチェックが入った社数</t>
        </is>
      </c>
      <c r="R9" s="150" t="n"/>
      <c r="S9" s="150" t="n"/>
      <c r="T9" s="151" t="n"/>
    </row>
    <row r="10" ht="7" customHeight="1"/>
    <row r="11" ht="28" customHeight="1">
      <c r="B11" s="143" t="inlineStr">
        <is>
          <t>検証中企業数</t>
        </is>
      </c>
      <c r="C11" s="144" t="n"/>
      <c r="D11" s="144" t="n"/>
      <c r="E11" s="145" t="n"/>
      <c r="G11" s="152" t="inlineStr">
        <is>
          <t>自走可能企業数</t>
        </is>
      </c>
      <c r="H11" s="153" t="n"/>
      <c r="I11" s="153" t="n"/>
      <c r="J11" s="154" t="n"/>
      <c r="L11" s="155" t="inlineStr">
        <is>
          <t>完全移管企業数</t>
        </is>
      </c>
      <c r="M11" s="156" t="n"/>
      <c r="N11" s="156" t="n"/>
      <c r="O11" s="157" t="n"/>
      <c r="Q11" s="143" t="inlineStr">
        <is>
          <t>実運用累計企業数</t>
        </is>
      </c>
      <c r="R11" s="144" t="n"/>
      <c r="S11" s="144" t="n"/>
      <c r="T11" s="145" t="n"/>
    </row>
    <row r="12" ht="34" customHeight="1">
      <c r="B12" s="146">
        <f>COUNTIF('案件進捗管理'!$E$6:$E$115,"4. 検証中")</f>
        <v/>
      </c>
      <c r="C12" s="147" t="n"/>
      <c r="D12" s="147" t="n"/>
      <c r="E12" s="148" t="n"/>
      <c r="G12" s="158">
        <f>COUNTIFS('案件進捗管理'!$W$6:$W$115,"&gt;0")</f>
        <v/>
      </c>
      <c r="H12" s="147" t="n"/>
      <c r="I12" s="147" t="n"/>
      <c r="J12" s="159" t="n"/>
      <c r="L12" s="160">
        <f>COUNTIFS('案件進捗管理'!$X$6:$X$115,"&gt;0")</f>
        <v/>
      </c>
      <c r="M12" s="147" t="n"/>
      <c r="N12" s="147" t="n"/>
      <c r="O12" s="161" t="n"/>
      <c r="Q12" s="146">
        <f>COUNTIFS('案件進捗管理'!$V$6:$V$115,"&gt;0")</f>
        <v/>
      </c>
      <c r="R12" s="147" t="n"/>
      <c r="S12" s="147" t="n"/>
      <c r="T12" s="148" t="n"/>
    </row>
    <row r="13" ht="22" customHeight="1">
      <c r="B13" s="149" t="inlineStr">
        <is>
          <t>ステータス＝4. 検証中</t>
        </is>
      </c>
      <c r="C13" s="150" t="n"/>
      <c r="D13" s="150" t="n"/>
      <c r="E13" s="151" t="n"/>
      <c r="G13" s="162" t="inlineStr">
        <is>
          <t>＝担当者単独で処理できた企業数（自走可能日が入力済み）</t>
        </is>
      </c>
      <c r="H13" s="163" t="n"/>
      <c r="I13" s="163" t="n"/>
      <c r="J13" s="164" t="n"/>
      <c r="L13" s="165" t="inlineStr">
        <is>
          <t>＝An-field様の確認が不要だった企業数（完全移管日が入力済み）</t>
        </is>
      </c>
      <c r="M13" s="166" t="n"/>
      <c r="N13" s="166" t="n"/>
      <c r="O13" s="167" t="n"/>
      <c r="Q13" s="149" t="inlineStr">
        <is>
          <t>実運用開始日が入力済みの社数</t>
        </is>
      </c>
      <c r="R13" s="150" t="n"/>
      <c r="S13" s="150" t="n"/>
      <c r="T13" s="151" t="n"/>
    </row>
    <row r="14" ht="7" customHeight="1"/>
    <row r="15" ht="28" customHeight="1">
      <c r="B15" s="143" t="inlineStr">
        <is>
          <t>移管済み工数</t>
        </is>
      </c>
      <c r="C15" s="144" t="n"/>
      <c r="D15" s="144" t="n"/>
      <c r="E15" s="145" t="n"/>
      <c r="G15" s="143" t="inlineStr">
        <is>
          <t>残工数</t>
        </is>
      </c>
      <c r="H15" s="144" t="n"/>
      <c r="I15" s="144" t="n"/>
      <c r="J15" s="145" t="n"/>
      <c r="L15" s="143" t="inlineStr">
        <is>
          <t>総実績工数</t>
        </is>
      </c>
      <c r="M15" s="144" t="n"/>
      <c r="N15" s="144" t="n"/>
      <c r="O15" s="145" t="n"/>
      <c r="Q15" s="143" t="inlineStr">
        <is>
          <t>1社あたり平均工数</t>
        </is>
      </c>
      <c r="R15" s="144" t="n"/>
      <c r="S15" s="144" t="n"/>
      <c r="T15" s="145" t="n"/>
    </row>
    <row r="16" ht="34" customHeight="1">
      <c r="B16" s="168">
        <f>'キャパシティ・必要人数'!$D$27</f>
        <v/>
      </c>
      <c r="C16" s="147" t="n"/>
      <c r="D16" s="147" t="n"/>
      <c r="E16" s="148" t="n"/>
      <c r="G16" s="168">
        <f>'キャパシティ・必要人数'!$D$28</f>
        <v/>
      </c>
      <c r="H16" s="147" t="n"/>
      <c r="I16" s="147" t="n"/>
      <c r="J16" s="148" t="n"/>
      <c r="L16" s="168">
        <f>IF(COUNT('週間スケジュール'!$H$7:$H$14)=0,"",SUM('週間スケジュール'!$H$7:$H$14))</f>
        <v/>
      </c>
      <c r="M16" s="147" t="n"/>
      <c r="N16" s="147" t="n"/>
      <c r="O16" s="148" t="n"/>
      <c r="Q16" s="168">
        <f>IF(COUNTIF('案件進捗管理'!$Q$6:$Q$115,"&gt;0")=0,"",SUM('案件進捗管理'!$Q$6:$Q$115)/COUNTIF('案件進捗管理'!$Q$6:$Q$115,"&gt;0"))</f>
        <v/>
      </c>
      <c r="R16" s="147" t="n"/>
      <c r="S16" s="147" t="n"/>
      <c r="T16" s="148" t="n"/>
    </row>
    <row r="17" ht="22" customHeight="1">
      <c r="B17" s="149" t="inlineStr">
        <is>
          <t>＝処理できた総工数（実運用開始済み企業の月間工数合計）</t>
        </is>
      </c>
      <c r="C17" s="150" t="n"/>
      <c r="D17" s="150" t="n"/>
      <c r="E17" s="151" t="n"/>
      <c r="G17" s="149" t="inlineStr">
        <is>
          <t>会社別総工数 − 移管済み工数（月）</t>
        </is>
      </c>
      <c r="H17" s="150" t="n"/>
      <c r="I17" s="150" t="n"/>
      <c r="J17" s="151" t="n"/>
      <c r="L17" s="149" t="inlineStr">
        <is>
          <t>週間スケジュールの実績工数の累計</t>
        </is>
      </c>
      <c r="M17" s="150" t="n"/>
      <c r="N17" s="150" t="n"/>
      <c r="O17" s="151" t="n"/>
      <c r="Q17" s="149" t="inlineStr">
        <is>
          <t>工数入力済み社の単純平均（月）。難易度調整後はキャパシティシート参照</t>
        </is>
      </c>
      <c r="R17" s="150" t="n"/>
      <c r="S17" s="150" t="n"/>
      <c r="T17" s="151" t="n"/>
    </row>
    <row r="18" ht="7" customHeight="1"/>
    <row r="19" ht="28" customHeight="1">
      <c r="B19" s="143" t="inlineStr">
        <is>
          <t>現在人数</t>
        </is>
      </c>
      <c r="C19" s="144" t="n"/>
      <c r="D19" s="144" t="n"/>
      <c r="E19" s="145" t="n"/>
      <c r="G19" s="169" t="inlineStr">
        <is>
          <t>追加必要人数</t>
        </is>
      </c>
      <c r="H19" s="170" t="n"/>
      <c r="I19" s="170" t="n"/>
      <c r="J19" s="171" t="n"/>
      <c r="L19" s="172" t="inlineStr">
        <is>
          <t>月あたり移管可能件数</t>
        </is>
      </c>
      <c r="M19" s="173" t="n"/>
      <c r="N19" s="173" t="n"/>
      <c r="O19" s="174" t="n"/>
      <c r="Q19" s="152" t="inlineStr">
        <is>
          <t>1人あたり処理可能社数</t>
        </is>
      </c>
      <c r="R19" s="153" t="n"/>
      <c r="S19" s="153" t="n"/>
      <c r="T19" s="154" t="n"/>
    </row>
    <row r="20" ht="34" customHeight="1">
      <c r="B20" s="175">
        <f>'キャパシティ・必要人数'!$D$10+'キャパシティ・必要人数'!$D$11</f>
        <v/>
      </c>
      <c r="C20" s="147" t="n"/>
      <c r="D20" s="147" t="n"/>
      <c r="E20" s="148" t="n"/>
      <c r="G20" s="176">
        <f>'キャパシティ・必要人数'!$D$38</f>
        <v/>
      </c>
      <c r="H20" s="147" t="n"/>
      <c r="I20" s="147" t="n"/>
      <c r="J20" s="177" t="n"/>
      <c r="L20" s="178">
        <f>'キャパシティ・必要人数'!$D$36</f>
        <v/>
      </c>
      <c r="M20" s="147" t="n"/>
      <c r="N20" s="147" t="n"/>
      <c r="O20" s="179" t="n"/>
      <c r="Q20" s="180">
        <f>'キャパシティ・必要人数'!$D$37</f>
        <v/>
      </c>
      <c r="R20" s="147" t="n"/>
      <c r="S20" s="147" t="n"/>
      <c r="T20" s="159" t="n"/>
    </row>
    <row r="21" ht="22" customHeight="1">
      <c r="B21" s="149" t="inlineStr">
        <is>
          <t>秘書チーム＋追加ワーカー</t>
        </is>
      </c>
      <c r="C21" s="150" t="n"/>
      <c r="D21" s="150" t="n"/>
      <c r="E21" s="151" t="n"/>
      <c r="G21" s="181" t="inlineStr">
        <is>
          <t>（総必要工数 − 月あたり処理可能工数）÷ 1人あたり処理可能工数（月）</t>
        </is>
      </c>
      <c r="H21" s="182" t="n"/>
      <c r="I21" s="182" t="n"/>
      <c r="J21" s="183" t="n"/>
      <c r="L21" s="184" t="inlineStr">
        <is>
          <t>（月処理可能工数 − 移管済み工数）÷（1社平均工数 ＋ 移管1社あたり追加工数）</t>
        </is>
      </c>
      <c r="M21" s="185" t="n"/>
      <c r="N21" s="185" t="n"/>
      <c r="O21" s="186" t="n"/>
      <c r="Q21" s="162" t="inlineStr">
        <is>
          <t>1人あたり処理可能工数（月）÷ 1社あたり平均工数</t>
        </is>
      </c>
      <c r="R21" s="163" t="n"/>
      <c r="S21" s="163" t="n"/>
      <c r="T21" s="164" t="n"/>
    </row>
    <row r="22" ht="7" customHeight="1"/>
    <row r="24" ht="22" customHeight="1">
      <c r="A24" s="121" t="inlineStr">
        <is>
          <t>②　週次データ（グラフ元データ ／ 実績工数のみ手入力）</t>
        </is>
      </c>
      <c r="B24" s="122" t="n"/>
      <c r="C24" s="122" t="n"/>
      <c r="D24" s="122" t="n"/>
      <c r="E24" s="122" t="n"/>
      <c r="F24" s="122" t="n"/>
      <c r="G24" s="122" t="n"/>
      <c r="H24" s="122" t="n"/>
      <c r="I24" s="122" t="n"/>
      <c r="J24" s="122" t="n"/>
      <c r="K24" s="122" t="n"/>
      <c r="L24" s="122" t="n"/>
      <c r="M24" s="122" t="n"/>
      <c r="N24" s="122" t="n"/>
      <c r="O24" s="122" t="n"/>
      <c r="P24" s="122" t="n"/>
      <c r="Q24" s="122" t="n"/>
      <c r="R24" s="122" t="n"/>
      <c r="S24" s="122" t="n"/>
      <c r="T24" s="122" t="n"/>
    </row>
    <row r="25" ht="40" customHeight="1">
      <c r="B25" s="15" t="inlineStr">
        <is>
          <t>週</t>
        </is>
      </c>
      <c r="C25" s="60" t="n"/>
      <c r="D25" s="15" t="inlineStr">
        <is>
          <t>期間終了日</t>
        </is>
      </c>
      <c r="E25" s="60" t="n"/>
      <c r="F25" s="15" t="inlineStr">
        <is>
          <t>計画実運用累計
（暫定）</t>
        </is>
      </c>
      <c r="G25" s="60" t="n"/>
      <c r="H25" s="15" t="inlineStr">
        <is>
          <t>実績実運用累計
（自動）</t>
        </is>
      </c>
      <c r="I25" s="60" t="n"/>
      <c r="J25" s="15" t="inlineStr">
        <is>
          <t>計画工数
（暫定）</t>
        </is>
      </c>
      <c r="K25" s="60" t="n"/>
      <c r="L25" s="15" t="inlineStr">
        <is>
          <t>実績工数
【入力】</t>
        </is>
      </c>
      <c r="M25" s="60" t="n"/>
      <c r="N25" s="15" t="inlineStr">
        <is>
          <t>移管済み工数
累計（自動）</t>
        </is>
      </c>
      <c r="O25" s="60" t="n"/>
      <c r="P25" s="15" t="inlineStr">
        <is>
          <t>件数進捗率
（自動）</t>
        </is>
      </c>
      <c r="Q25" s="60" t="n"/>
      <c r="R25" s="15" t="inlineStr">
        <is>
          <t>工数進捗率
（自動）</t>
        </is>
      </c>
      <c r="S25" s="60" t="n"/>
      <c r="T25" s="60" t="n"/>
    </row>
    <row r="26" ht="22" customHeight="1">
      <c r="B26" s="187" t="inlineStr">
        <is>
          <t>第1週</t>
        </is>
      </c>
      <c r="C26" s="188" t="n"/>
      <c r="D26" s="189" t="n">
        <v>46278</v>
      </c>
      <c r="E26" s="188" t="n"/>
      <c r="F26" s="190" t="n">
        <v>0</v>
      </c>
      <c r="G26" s="188" t="n"/>
      <c r="H26" s="191">
        <f>'週間スケジュール'!$F$7</f>
        <v/>
      </c>
      <c r="I26" s="45" t="n"/>
      <c r="J26" s="192">
        <f>'週間スケジュール'!$G$7</f>
        <v/>
      </c>
      <c r="K26" s="188" t="n"/>
      <c r="L26" s="193">
        <f>IF('週間スケジュール'!$H$7="","",'週間スケジュール'!$H$7)</f>
        <v/>
      </c>
      <c r="M26" s="194" t="n"/>
      <c r="N26" s="195">
        <f>SUMPRODUCT(('案件進捗管理'!$V$6:$V$115&lt;&gt;"")*('案件進捗管理'!$V$6:$V$115&lt;=$D26)*'案件進捗管理'!$Q$6:$Q$115)</f>
        <v/>
      </c>
      <c r="O26" s="45" t="n"/>
      <c r="P26" s="196">
        <f>IF('キャパシティ・必要人数'!$D$24=0,"",H26/'キャパシティ・必要人数'!$D$24)</f>
        <v/>
      </c>
      <c r="Q26" s="45" t="n"/>
      <c r="R26" s="197">
        <f>IF('キャパシティ・必要人数'!$D$25=0,"",N26/'キャパシティ・必要人数'!$D$25)</f>
        <v/>
      </c>
      <c r="S26" s="45" t="n"/>
      <c r="T26" s="45" t="n"/>
    </row>
    <row r="27" ht="22" customHeight="1">
      <c r="B27" s="187" t="inlineStr">
        <is>
          <t>第2週</t>
        </is>
      </c>
      <c r="C27" s="188" t="n"/>
      <c r="D27" s="189" t="n">
        <v>46285</v>
      </c>
      <c r="E27" s="188" t="n"/>
      <c r="F27" s="190" t="n">
        <v>0</v>
      </c>
      <c r="G27" s="188" t="n"/>
      <c r="H27" s="191">
        <f>'週間スケジュール'!$F$8</f>
        <v/>
      </c>
      <c r="I27" s="45" t="n"/>
      <c r="J27" s="192">
        <f>'週間スケジュール'!$G$8</f>
        <v/>
      </c>
      <c r="K27" s="188" t="n"/>
      <c r="L27" s="193">
        <f>IF('週間スケジュール'!$H$8="","",'週間スケジュール'!$H$8)</f>
        <v/>
      </c>
      <c r="M27" s="194" t="n"/>
      <c r="N27" s="195">
        <f>SUMPRODUCT(('案件進捗管理'!$V$6:$V$115&lt;&gt;"")*('案件進捗管理'!$V$6:$V$115&lt;=$D27)*'案件進捗管理'!$Q$6:$Q$115)</f>
        <v/>
      </c>
      <c r="O27" s="45" t="n"/>
      <c r="P27" s="196">
        <f>IF('キャパシティ・必要人数'!$D$24=0,"",H27/'キャパシティ・必要人数'!$D$24)</f>
        <v/>
      </c>
      <c r="Q27" s="45" t="n"/>
      <c r="R27" s="197">
        <f>IF('キャパシティ・必要人数'!$D$25=0,"",N27/'キャパシティ・必要人数'!$D$25)</f>
        <v/>
      </c>
      <c r="S27" s="45" t="n"/>
      <c r="T27" s="45" t="n"/>
    </row>
    <row r="28" ht="22" customHeight="1">
      <c r="B28" s="187" t="inlineStr">
        <is>
          <t>第3週</t>
        </is>
      </c>
      <c r="C28" s="188" t="n"/>
      <c r="D28" s="189" t="n">
        <v>46292</v>
      </c>
      <c r="E28" s="188" t="n"/>
      <c r="F28" s="190" t="n">
        <v>0</v>
      </c>
      <c r="G28" s="188" t="n"/>
      <c r="H28" s="191">
        <f>'週間スケジュール'!$F$9</f>
        <v/>
      </c>
      <c r="I28" s="45" t="n"/>
      <c r="J28" s="192">
        <f>'週間スケジュール'!$G$9</f>
        <v/>
      </c>
      <c r="K28" s="188" t="n"/>
      <c r="L28" s="193">
        <f>IF('週間スケジュール'!$H$9="","",'週間スケジュール'!$H$9)</f>
        <v/>
      </c>
      <c r="M28" s="194" t="n"/>
      <c r="N28" s="195">
        <f>SUMPRODUCT(('案件進捗管理'!$V$6:$V$115&lt;&gt;"")*('案件進捗管理'!$V$6:$V$115&lt;=$D28)*'案件進捗管理'!$Q$6:$Q$115)</f>
        <v/>
      </c>
      <c r="O28" s="45" t="n"/>
      <c r="P28" s="196">
        <f>IF('キャパシティ・必要人数'!$D$24=0,"",H28/'キャパシティ・必要人数'!$D$24)</f>
        <v/>
      </c>
      <c r="Q28" s="45" t="n"/>
      <c r="R28" s="197">
        <f>IF('キャパシティ・必要人数'!$D$25=0,"",N28/'キャパシティ・必要人数'!$D$25)</f>
        <v/>
      </c>
      <c r="S28" s="45" t="n"/>
      <c r="T28" s="45" t="n"/>
    </row>
    <row r="29" ht="22" customHeight="1">
      <c r="B29" s="187" t="inlineStr">
        <is>
          <t>第4週</t>
        </is>
      </c>
      <c r="C29" s="188" t="n"/>
      <c r="D29" s="189" t="n">
        <v>46299</v>
      </c>
      <c r="E29" s="188" t="n"/>
      <c r="F29" s="190" t="n">
        <v>7</v>
      </c>
      <c r="G29" s="188" t="n"/>
      <c r="H29" s="191">
        <f>'週間スケジュール'!$F$10</f>
        <v/>
      </c>
      <c r="I29" s="45" t="n"/>
      <c r="J29" s="192">
        <f>'週間スケジュール'!$G$10</f>
        <v/>
      </c>
      <c r="K29" s="188" t="n"/>
      <c r="L29" s="193">
        <f>IF('週間スケジュール'!$H$10="","",'週間スケジュール'!$H$10)</f>
        <v/>
      </c>
      <c r="M29" s="194" t="n"/>
      <c r="N29" s="195">
        <f>SUMPRODUCT(('案件進捗管理'!$V$6:$V$115&lt;&gt;"")*('案件進捗管理'!$V$6:$V$115&lt;=$D29)*'案件進捗管理'!$Q$6:$Q$115)</f>
        <v/>
      </c>
      <c r="O29" s="45" t="n"/>
      <c r="P29" s="196">
        <f>IF('キャパシティ・必要人数'!$D$24=0,"",H29/'キャパシティ・必要人数'!$D$24)</f>
        <v/>
      </c>
      <c r="Q29" s="45" t="n"/>
      <c r="R29" s="197">
        <f>IF('キャパシティ・必要人数'!$D$25=0,"",N29/'キャパシティ・必要人数'!$D$25)</f>
        <v/>
      </c>
      <c r="S29" s="45" t="n"/>
      <c r="T29" s="45" t="n"/>
    </row>
    <row r="30" ht="22" customHeight="1">
      <c r="B30" s="187" t="inlineStr">
        <is>
          <t>第5週</t>
        </is>
      </c>
      <c r="C30" s="188" t="n"/>
      <c r="D30" s="189" t="n">
        <v>46306</v>
      </c>
      <c r="E30" s="188" t="n"/>
      <c r="F30" s="190" t="n">
        <v>12</v>
      </c>
      <c r="G30" s="188" t="n"/>
      <c r="H30" s="191">
        <f>'週間スケジュール'!$F$11</f>
        <v/>
      </c>
      <c r="I30" s="45" t="n"/>
      <c r="J30" s="192">
        <f>'週間スケジュール'!$G$11</f>
        <v/>
      </c>
      <c r="K30" s="188" t="n"/>
      <c r="L30" s="193">
        <f>IF('週間スケジュール'!$H$11="","",'週間スケジュール'!$H$11)</f>
        <v/>
      </c>
      <c r="M30" s="194" t="n"/>
      <c r="N30" s="195">
        <f>SUMPRODUCT(('案件進捗管理'!$V$6:$V$115&lt;&gt;"")*('案件進捗管理'!$V$6:$V$115&lt;=$D30)*'案件進捗管理'!$Q$6:$Q$115)</f>
        <v/>
      </c>
      <c r="O30" s="45" t="n"/>
      <c r="P30" s="196">
        <f>IF('キャパシティ・必要人数'!$D$24=0,"",H30/'キャパシティ・必要人数'!$D$24)</f>
        <v/>
      </c>
      <c r="Q30" s="45" t="n"/>
      <c r="R30" s="197">
        <f>IF('キャパシティ・必要人数'!$D$25=0,"",N30/'キャパシティ・必要人数'!$D$25)</f>
        <v/>
      </c>
      <c r="S30" s="45" t="n"/>
      <c r="T30" s="45" t="n"/>
    </row>
    <row r="31" ht="22" customHeight="1">
      <c r="B31" s="187" t="inlineStr">
        <is>
          <t>第6週</t>
        </is>
      </c>
      <c r="C31" s="188" t="n"/>
      <c r="D31" s="189" t="n">
        <v>46313</v>
      </c>
      <c r="E31" s="188" t="n"/>
      <c r="F31" s="190" t="n">
        <v>17</v>
      </c>
      <c r="G31" s="188" t="n"/>
      <c r="H31" s="191">
        <f>'週間スケジュール'!$F$12</f>
        <v/>
      </c>
      <c r="I31" s="45" t="n"/>
      <c r="J31" s="192">
        <f>'週間スケジュール'!$G$12</f>
        <v/>
      </c>
      <c r="K31" s="188" t="n"/>
      <c r="L31" s="193">
        <f>IF('週間スケジュール'!$H$12="","",'週間スケジュール'!$H$12)</f>
        <v/>
      </c>
      <c r="M31" s="194" t="n"/>
      <c r="N31" s="195">
        <f>SUMPRODUCT(('案件進捗管理'!$V$6:$V$115&lt;&gt;"")*('案件進捗管理'!$V$6:$V$115&lt;=$D31)*'案件進捗管理'!$Q$6:$Q$115)</f>
        <v/>
      </c>
      <c r="O31" s="45" t="n"/>
      <c r="P31" s="196">
        <f>IF('キャパシティ・必要人数'!$D$24=0,"",H31/'キャパシティ・必要人数'!$D$24)</f>
        <v/>
      </c>
      <c r="Q31" s="45" t="n"/>
      <c r="R31" s="197">
        <f>IF('キャパシティ・必要人数'!$D$25=0,"",N31/'キャパシティ・必要人数'!$D$25)</f>
        <v/>
      </c>
      <c r="S31" s="45" t="n"/>
      <c r="T31" s="45" t="n"/>
    </row>
    <row r="32" ht="22" customHeight="1">
      <c r="B32" s="187" t="inlineStr">
        <is>
          <t>第7週</t>
        </is>
      </c>
      <c r="C32" s="188" t="n"/>
      <c r="D32" s="189" t="n">
        <v>46320</v>
      </c>
      <c r="E32" s="188" t="n"/>
      <c r="F32" s="190" t="n">
        <v>25</v>
      </c>
      <c r="G32" s="188" t="n"/>
      <c r="H32" s="191">
        <f>'週間スケジュール'!$F$13</f>
        <v/>
      </c>
      <c r="I32" s="45" t="n"/>
      <c r="J32" s="192">
        <f>'週間スケジュール'!$G$13</f>
        <v/>
      </c>
      <c r="K32" s="188" t="n"/>
      <c r="L32" s="193">
        <f>IF('週間スケジュール'!$H$13="","",'週間スケジュール'!$H$13)</f>
        <v/>
      </c>
      <c r="M32" s="194" t="n"/>
      <c r="N32" s="195">
        <f>SUMPRODUCT(('案件進捗管理'!$V$6:$V$115&lt;&gt;"")*('案件進捗管理'!$V$6:$V$115&lt;=$D32)*'案件進捗管理'!$Q$6:$Q$115)</f>
        <v/>
      </c>
      <c r="O32" s="45" t="n"/>
      <c r="P32" s="196">
        <f>IF('キャパシティ・必要人数'!$D$24=0,"",H32/'キャパシティ・必要人数'!$D$24)</f>
        <v/>
      </c>
      <c r="Q32" s="45" t="n"/>
      <c r="R32" s="197">
        <f>IF('キャパシティ・必要人数'!$D$25=0,"",N32/'キャパシティ・必要人数'!$D$25)</f>
        <v/>
      </c>
      <c r="S32" s="45" t="n"/>
      <c r="T32" s="45" t="n"/>
    </row>
    <row r="33" ht="22" customHeight="1">
      <c r="B33" s="187" t="inlineStr">
        <is>
          <t>第8週</t>
        </is>
      </c>
      <c r="C33" s="188" t="n"/>
      <c r="D33" s="189" t="n">
        <v>46326</v>
      </c>
      <c r="E33" s="188" t="n"/>
      <c r="F33" s="190" t="n">
        <v>30</v>
      </c>
      <c r="G33" s="188" t="n"/>
      <c r="H33" s="191">
        <f>'週間スケジュール'!$F$14</f>
        <v/>
      </c>
      <c r="I33" s="45" t="n"/>
      <c r="J33" s="192">
        <f>'週間スケジュール'!$G$14</f>
        <v/>
      </c>
      <c r="K33" s="188" t="n"/>
      <c r="L33" s="193">
        <f>IF('週間スケジュール'!$H$14="","",'週間スケジュール'!$H$14)</f>
        <v/>
      </c>
      <c r="M33" s="194" t="n"/>
      <c r="N33" s="195">
        <f>SUMPRODUCT(('案件進捗管理'!$V$6:$V$115&lt;&gt;"")*('案件進捗管理'!$V$6:$V$115&lt;=$D33)*'案件進捗管理'!$Q$6:$Q$115)</f>
        <v/>
      </c>
      <c r="O33" s="45" t="n"/>
      <c r="P33" s="196">
        <f>IF('キャパシティ・必要人数'!$D$24=0,"",H33/'キャパシティ・必要人数'!$D$24)</f>
        <v/>
      </c>
      <c r="Q33" s="45" t="n"/>
      <c r="R33" s="197">
        <f>IF('キャパシティ・必要人数'!$D$25=0,"",N33/'キャパシティ・必要人数'!$D$25)</f>
        <v/>
      </c>
      <c r="S33" s="45" t="n"/>
      <c r="T33" s="45" t="n"/>
    </row>
    <row r="34" ht="24" customHeight="1">
      <c r="B34" s="198" t="inlineStr">
        <is>
          <t>合計 / 最終</t>
        </is>
      </c>
      <c r="C34" s="56" t="n"/>
      <c r="D34" s="56" t="n"/>
      <c r="E34" s="56" t="n"/>
      <c r="F34" s="199">
        <f>MAX(F26:F33)</f>
        <v/>
      </c>
      <c r="G34" s="56" t="n"/>
      <c r="H34" s="199">
        <f>MAX(H26:H33)</f>
        <v/>
      </c>
      <c r="I34" s="56" t="n"/>
      <c r="J34" s="200">
        <f>SUM(J26:J33)</f>
        <v/>
      </c>
      <c r="K34" s="56" t="n"/>
      <c r="L34" s="201">
        <f>IF(COUNT(L26:L33)=0,"",SUM(L26:L33))</f>
        <v/>
      </c>
      <c r="M34" s="56" t="n"/>
      <c r="N34" s="201">
        <f>MAX(N26:N33)</f>
        <v/>
      </c>
      <c r="O34" s="56" t="n"/>
      <c r="P34" s="202">
        <f>MAX(P26:P33)</f>
        <v/>
      </c>
      <c r="Q34" s="56" t="n"/>
      <c r="R34" s="202">
        <f>MAX(R26:R33)</f>
        <v/>
      </c>
      <c r="S34" s="56" t="n"/>
      <c r="T34" s="56" t="n"/>
    </row>
    <row r="36" ht="22" customHeight="1">
      <c r="A36" s="121" t="inlineStr">
        <is>
          <t>③　移管ステータス別 企業数（グラフ①元データ）</t>
        </is>
      </c>
      <c r="B36" s="122" t="n"/>
      <c r="C36" s="122" t="n"/>
      <c r="D36" s="122" t="n"/>
      <c r="E36" s="122" t="n"/>
      <c r="F36" s="122" t="n"/>
      <c r="G36" s="122" t="n"/>
      <c r="H36" s="122" t="n"/>
      <c r="I36" s="122" t="n"/>
      <c r="J36" s="122" t="n"/>
      <c r="K36" s="122" t="n"/>
      <c r="L36" s="122" t="n"/>
      <c r="M36" s="122" t="n"/>
      <c r="N36" s="122" t="n"/>
      <c r="O36" s="122" t="n"/>
      <c r="P36" s="122" t="n"/>
      <c r="Q36" s="122" t="n"/>
      <c r="R36" s="122" t="n"/>
      <c r="S36" s="122" t="n"/>
      <c r="T36" s="122" t="n"/>
    </row>
    <row r="38" ht="30" customHeight="1">
      <c r="B38" s="203" t="inlineStr">
        <is>
          <t>区分</t>
        </is>
      </c>
      <c r="C38" s="15" t="inlineStr">
        <is>
          <t>1. 未着手</t>
        </is>
      </c>
      <c r="D38" s="15" t="inlineStr">
        <is>
          <t>2. 引継ぎ中</t>
        </is>
      </c>
      <c r="E38" s="15" t="inlineStr">
        <is>
          <t>3. 初回計算</t>
        </is>
      </c>
      <c r="F38" s="15" t="inlineStr">
        <is>
          <t>4. 検証中</t>
        </is>
      </c>
      <c r="G38" s="15" t="inlineStr">
        <is>
          <t>5. 自走可能</t>
        </is>
      </c>
      <c r="H38" s="15" t="inlineStr">
        <is>
          <t>6. 完全移管</t>
        </is>
      </c>
    </row>
    <row r="39">
      <c r="B39" s="9" t="inlineStr">
        <is>
          <t>全社</t>
        </is>
      </c>
      <c r="C39" s="204">
        <f>COUNTIF('案件進捗管理'!$E$6:$E$115,"1. 未着手")</f>
        <v/>
      </c>
      <c r="D39" s="205">
        <f>COUNTIF('案件進捗管理'!$E$6:$E$115,"2. 引継ぎ中")</f>
        <v/>
      </c>
      <c r="E39" s="206">
        <f>COUNTIF('案件進捗管理'!$E$6:$E$115,"3. 初回計算")</f>
        <v/>
      </c>
      <c r="F39" s="207">
        <f>COUNTIF('案件進捗管理'!$E$6:$E$115,"4. 検証中")</f>
        <v/>
      </c>
      <c r="G39" s="208">
        <f>COUNTIF('案件進捗管理'!$E$6:$E$115,"5. 自走可能")</f>
        <v/>
      </c>
      <c r="H39" s="209">
        <f>COUNTIF('案件進捗管理'!$E$6:$E$115,"6. 完全移管")</f>
        <v/>
      </c>
    </row>
    <row r="40">
      <c r="B40" s="9" t="inlineStr">
        <is>
          <t>構成比</t>
        </is>
      </c>
      <c r="C40" s="210">
        <f>IF('キャパシティ・必要人数'!$D$24=0,"",C39/'キャパシティ・必要人数'!$D$24)</f>
        <v/>
      </c>
      <c r="D40" s="210">
        <f>IF('キャパシティ・必要人数'!$D$24=0,"",D39/'キャパシティ・必要人数'!$D$24)</f>
        <v/>
      </c>
      <c r="E40" s="210">
        <f>IF('キャパシティ・必要人数'!$D$24=0,"",E39/'キャパシティ・必要人数'!$D$24)</f>
        <v/>
      </c>
      <c r="F40" s="210">
        <f>IF('キャパシティ・必要人数'!$D$24=0,"",F39/'キャパシティ・必要人数'!$D$24)</f>
        <v/>
      </c>
      <c r="G40" s="210">
        <f>IF('キャパシティ・必要人数'!$D$24=0,"",G39/'キャパシティ・必要人数'!$D$24)</f>
        <v/>
      </c>
      <c r="H40" s="210">
        <f>IF('キャパシティ・必要人数'!$D$24=0,"",H39/'キャパシティ・必要人数'!$D$24)</f>
        <v/>
      </c>
    </row>
    <row r="42" ht="22" customHeight="1">
      <c r="A42" s="121" t="inlineStr">
        <is>
          <t>④　処理能力比較（グラフ④元データ）</t>
        </is>
      </c>
      <c r="B42" s="122" t="n"/>
      <c r="C42" s="122" t="n"/>
      <c r="D42" s="122" t="n"/>
      <c r="E42" s="122" t="n"/>
      <c r="F42" s="122" t="n"/>
      <c r="G42" s="122" t="n"/>
      <c r="H42" s="122" t="n"/>
      <c r="I42" s="122" t="n"/>
      <c r="J42" s="122" t="n"/>
      <c r="K42" s="122" t="n"/>
      <c r="L42" s="122" t="n"/>
      <c r="M42" s="122" t="n"/>
      <c r="N42" s="122" t="n"/>
      <c r="O42" s="122" t="n"/>
      <c r="P42" s="122" t="n"/>
      <c r="Q42" s="122" t="n"/>
      <c r="R42" s="122" t="n"/>
      <c r="S42" s="122" t="n"/>
      <c r="T42" s="122" t="n"/>
    </row>
    <row r="43">
      <c r="B43" s="203" t="inlineStr">
        <is>
          <t>区分</t>
        </is>
      </c>
      <c r="C43" s="203" t="inlineStr">
        <is>
          <t>月あたり工数（h）</t>
        </is>
      </c>
    </row>
    <row r="44">
      <c r="B44" s="9" t="inlineStr">
        <is>
          <t>現在処理能力（月）</t>
        </is>
      </c>
      <c r="C44" s="211">
        <f>'キャパシティ・必要人数'!$D$32</f>
        <v/>
      </c>
      <c r="D44" s="212" t="inlineStr">
        <is>
          <t>必要処理能力が現在処理能力を上回る場合は増員が必要です。不足分 ÷ 1人あたり月間有効稼働時間 ＝ 追加必要人数（キャパシティシートで自動算出）。</t>
        </is>
      </c>
    </row>
    <row r="45">
      <c r="B45" s="9" t="inlineStr">
        <is>
          <t>必要処理能力（月）</t>
        </is>
      </c>
      <c r="C45" s="213">
        <f>'キャパシティ・必要人数'!$D$26</f>
        <v/>
      </c>
    </row>
    <row r="47" ht="22" customHeight="1">
      <c r="A47" s="121" t="inlineStr">
        <is>
          <t>⑤　グラフ（①ステータス別／②実運用推移／③工数 計画vs実績／④処理能力／⑤件数進捗vs工数進捗）</t>
        </is>
      </c>
      <c r="B47" s="122" t="n"/>
      <c r="C47" s="122" t="n"/>
      <c r="D47" s="122" t="n"/>
      <c r="E47" s="122" t="n"/>
      <c r="F47" s="122" t="n"/>
      <c r="G47" s="122" t="n"/>
      <c r="H47" s="122" t="n"/>
      <c r="I47" s="122" t="n"/>
      <c r="J47" s="122" t="n"/>
      <c r="K47" s="122" t="n"/>
      <c r="L47" s="122" t="n"/>
      <c r="M47" s="122" t="n"/>
      <c r="N47" s="122" t="n"/>
      <c r="O47" s="122" t="n"/>
      <c r="P47" s="122" t="n"/>
      <c r="Q47" s="122" t="n"/>
      <c r="R47" s="122" t="n"/>
      <c r="S47" s="122" t="n"/>
      <c r="T47" s="122" t="n"/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32" customHeight="1">
      <c r="A108" s="40" t="inlineStr">
        <is>
          <t>【10月末時点で確認すべき判断材料】　① 実運用済み企業数　② 自走可能企業数　③ 完全移管企業数　④ 残企業数　⑤ 残工数　⑥ 必要追加人数　⑦ 1人あたり処理可能工数・1人あたり処理可能社数　⑧ 月あたり移管可能件数・今後の移管ペース（社/週）　→ ⑦⑧の詳細は「キャパシティ・必要人数」シートで自動算出されます。</t>
        </is>
      </c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</row>
    <row r="109" ht="32" customHeight="1">
      <c r="A109" s="39" t="inlineStr">
        <is>
          <t>【企業数だけで見ないための重点KPI（10/12週〜）】① 処理できた総工数 ＝ KPIカード「移管済み工数」　② An-field様の確認が不要だった企業数 ＝ KPIカード「完全移管企業数」　③ 担当者単独で処理できた企業数 ＝ KPIカード「自走可能企業数」</t>
        </is>
      </c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</row>
    <row r="110" ht="32" customHeight="1">
      <c r="A110" s="40" t="inlineStr">
        <is>
          <t>【進捗管理ルール】このプロジェクトは「何社移管したか」だけでは判断しません。①件数進捗（何社が各ステータスまで進んだか）②工数進捗（全体工数のうち何時間分を移管できたか）③自走進捗（何社がAn-field様の日常的な確認なしで運用できるか）の3軸で評価します。</t>
        </is>
      </c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</row>
    <row r="111" ht="28" customHeight="1">
      <c r="A111" s="39" t="inlineStr">
        <is>
          <t>【完全移管の定義】資料回収・給与計算・不明点対応・顧問先とのやり取り・納品・担当者管理まで、An-field様の日常的な管理なしで完結する状態。「給与計算ができる状態」は完全移管ではありません。</t>
        </is>
      </c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</row>
    <row r="112" ht="42" customHeight="1">
      <c r="A112" s="105" t="inlineStr">
        <is>
          <t>【10月末のゴール】100〜110社の完全移管ではありません。①先行企業で実運用が成立　②企業別工数の把握　③企業別難易度の整理　④秘書／ワーカーの役割分担成立　⑤1人あたり処理能力の把握　⑥現在人員で何社まで運用可能かが判明　⑦完全移管までの残工数が判明　⑧追加必要人員数が判明　⑨今後の移管ペースを数値で設計できる　この状態がゴールです。</t>
        </is>
      </c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</row>
    <row r="113" ht="32" customHeight="1">
      <c r="A113" s="141" t="inlineStr">
        <is>
          <t>【暫定計画値】9月：先行引継ぎ10〜15社程度／10月前半：実運用累計10〜20社程度／10月末：実運用累計25〜35社程度。いずれも確定値ではなく暫定計画値です。会社別工数・実績確認後に更新してください。件数目標を達成するために無理に企業を移管せず、実工数と品質をもとに件数を調整してください。</t>
        </is>
      </c>
      <c r="B113" s="142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  <c r="S113" s="142" t="n"/>
      <c r="T113" s="142" t="n"/>
    </row>
    <row r="114" ht="22" customHeight="1">
      <c r="A114" s="44" t="inlineStr">
        <is>
          <t>【凡例】薄い黄色＝手入力　／　薄いグレー＝自動計算　／　白＝暫定計画値（固定）　／　赤＝警告・不足のみ</t>
        </is>
      </c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</row>
  </sheetData>
  <mergeCells count="155">
    <mergeCell ref="F29:G29"/>
    <mergeCell ref="R27:T27"/>
    <mergeCell ref="F25:G25"/>
    <mergeCell ref="A24:T24"/>
    <mergeCell ref="J28:K28"/>
    <mergeCell ref="B31:C31"/>
    <mergeCell ref="L28:M28"/>
    <mergeCell ref="D31:E31"/>
    <mergeCell ref="Q13:T13"/>
    <mergeCell ref="L17:O17"/>
    <mergeCell ref="Q7:T7"/>
    <mergeCell ref="Q21:T21"/>
    <mergeCell ref="A108:T108"/>
    <mergeCell ref="L19:O19"/>
    <mergeCell ref="L29:M29"/>
    <mergeCell ref="N29:O29"/>
    <mergeCell ref="G8:J8"/>
    <mergeCell ref="B12:E12"/>
    <mergeCell ref="B21:E21"/>
    <mergeCell ref="P32:Q32"/>
    <mergeCell ref="L12:O12"/>
    <mergeCell ref="A2:T2"/>
    <mergeCell ref="J31:K31"/>
    <mergeCell ref="L31:M31"/>
    <mergeCell ref="A42:T42"/>
    <mergeCell ref="N31:O31"/>
    <mergeCell ref="B33:C33"/>
    <mergeCell ref="D33:E33"/>
    <mergeCell ref="B13:E13"/>
    <mergeCell ref="P33:Q33"/>
    <mergeCell ref="B32:C32"/>
    <mergeCell ref="B26:C26"/>
    <mergeCell ref="D26:E26"/>
    <mergeCell ref="A112:T112"/>
    <mergeCell ref="Q9:T9"/>
    <mergeCell ref="N26:O26"/>
    <mergeCell ref="P26:Q26"/>
    <mergeCell ref="B25:C25"/>
    <mergeCell ref="D34:E34"/>
    <mergeCell ref="G20:J20"/>
    <mergeCell ref="F34:G34"/>
    <mergeCell ref="A114:T114"/>
    <mergeCell ref="Q17:T17"/>
    <mergeCell ref="L21:O21"/>
    <mergeCell ref="N25:O25"/>
    <mergeCell ref="Q11:T11"/>
    <mergeCell ref="P25:Q25"/>
    <mergeCell ref="R26:T26"/>
    <mergeCell ref="B27:C27"/>
    <mergeCell ref="P34:Q34"/>
    <mergeCell ref="H25:I25"/>
    <mergeCell ref="H34:I34"/>
    <mergeCell ref="F30:G30"/>
    <mergeCell ref="J34:K34"/>
    <mergeCell ref="G12:J12"/>
    <mergeCell ref="B16:E16"/>
    <mergeCell ref="F33:G33"/>
    <mergeCell ref="G21:J21"/>
    <mergeCell ref="Q12:T12"/>
    <mergeCell ref="L16:O16"/>
    <mergeCell ref="J27:K27"/>
    <mergeCell ref="L30:M30"/>
    <mergeCell ref="B29:C29"/>
    <mergeCell ref="N28:O28"/>
    <mergeCell ref="F31:G31"/>
    <mergeCell ref="G7:J7"/>
    <mergeCell ref="B11:E11"/>
    <mergeCell ref="F28:G28"/>
    <mergeCell ref="P28:Q28"/>
    <mergeCell ref="H28:I28"/>
    <mergeCell ref="R29:T29"/>
    <mergeCell ref="N30:O30"/>
    <mergeCell ref="P30:Q30"/>
    <mergeCell ref="D29:E29"/>
    <mergeCell ref="A109:T109"/>
    <mergeCell ref="L20:O20"/>
    <mergeCell ref="R31:T31"/>
    <mergeCell ref="A111:T111"/>
    <mergeCell ref="J29:K29"/>
    <mergeCell ref="L32:M32"/>
    <mergeCell ref="N32:O32"/>
    <mergeCell ref="B15:E15"/>
    <mergeCell ref="G16:J16"/>
    <mergeCell ref="H31:I31"/>
    <mergeCell ref="A36:T36"/>
    <mergeCell ref="A1:T1"/>
    <mergeCell ref="G9:J9"/>
    <mergeCell ref="D27:E27"/>
    <mergeCell ref="L33:M33"/>
    <mergeCell ref="B7:E7"/>
    <mergeCell ref="N33:O33"/>
    <mergeCell ref="P27:Q27"/>
    <mergeCell ref="L7:O7"/>
    <mergeCell ref="G11:J11"/>
    <mergeCell ref="J26:K26"/>
    <mergeCell ref="L26:M26"/>
    <mergeCell ref="R33:T33"/>
    <mergeCell ref="B34:C34"/>
    <mergeCell ref="J25:K25"/>
    <mergeCell ref="B28:C28"/>
    <mergeCell ref="L25:M25"/>
    <mergeCell ref="D28:E28"/>
    <mergeCell ref="A113:T113"/>
    <mergeCell ref="Q20:T20"/>
    <mergeCell ref="D25:E25"/>
    <mergeCell ref="G13:J13"/>
    <mergeCell ref="B17:E17"/>
    <mergeCell ref="L8:O8"/>
    <mergeCell ref="B30:C30"/>
    <mergeCell ref="D30:E30"/>
    <mergeCell ref="A4:T4"/>
    <mergeCell ref="R28:T28"/>
    <mergeCell ref="G15:J15"/>
    <mergeCell ref="B19:E19"/>
    <mergeCell ref="R25:T25"/>
    <mergeCell ref="Q15:T15"/>
    <mergeCell ref="H30:I30"/>
    <mergeCell ref="R30:T30"/>
    <mergeCell ref="B9:E9"/>
    <mergeCell ref="P29:Q29"/>
    <mergeCell ref="L9:O9"/>
    <mergeCell ref="H29:I29"/>
    <mergeCell ref="B20:E20"/>
    <mergeCell ref="P31:Q31"/>
    <mergeCell ref="L11:O11"/>
    <mergeCell ref="A110:T110"/>
    <mergeCell ref="J30:K30"/>
    <mergeCell ref="A6:T6"/>
    <mergeCell ref="R32:T32"/>
    <mergeCell ref="Q16:T16"/>
    <mergeCell ref="D32:E32"/>
    <mergeCell ref="F32:G32"/>
    <mergeCell ref="F26:G26"/>
    <mergeCell ref="L13:O13"/>
    <mergeCell ref="G17:J17"/>
    <mergeCell ref="Q8:T8"/>
    <mergeCell ref="H32:I32"/>
    <mergeCell ref="A3:T3"/>
    <mergeCell ref="J32:K32"/>
    <mergeCell ref="A47:T47"/>
    <mergeCell ref="F27:G27"/>
    <mergeCell ref="L15:O15"/>
    <mergeCell ref="G19:J19"/>
    <mergeCell ref="H27:I27"/>
    <mergeCell ref="D44:T45"/>
    <mergeCell ref="Q19:T19"/>
    <mergeCell ref="L34:M34"/>
    <mergeCell ref="B8:E8"/>
    <mergeCell ref="N34:O34"/>
    <mergeCell ref="H33:I33"/>
    <mergeCell ref="J33:K33"/>
    <mergeCell ref="L27:M27"/>
    <mergeCell ref="N27:O27"/>
    <mergeCell ref="R34:T34"/>
    <mergeCell ref="H26:I2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An-field様 給与計算業務 完全移管 進行管理（2026/9/9〜10/31）</dc:title>
  <dc:description>9月：全社情報整理・優先順位決定・先行企業引継ぎ・テスト計算・採用 ／ 10月：先行企業 実運用・対象企業拡大・運用精度確認</dc:description>
  <dcterms:created xsi:type="dcterms:W3CDTF">2026-09-09T11:46:05Z</dcterms:created>
  <dcterms:modified xsi:type="dcterms:W3CDTF">2026-09-09T11:46:05Z</dcterms:modified>
</cp:coreProperties>
</file>