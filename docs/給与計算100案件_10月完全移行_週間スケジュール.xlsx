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体スケジュール" sheetId="1" state="visible" r:id="rId1"/>
    <sheet name="ガントチャート" sheetId="2" state="visible" r:id="rId2"/>
    <sheet name="案件進捗管理" sheetId="3" state="visible" r:id="rId3"/>
    <sheet name="KPI・リスク管理" sheetId="4" state="visible" r:id="rId4"/>
  </sheets>
  <definedNames>
    <definedName name="_xlnm._FilterDatabase" localSheetId="0" hidden="1">'全体スケジュール'!$A$5:$L$12</definedName>
    <definedName name="_xlnm._FilterDatabase" localSheetId="2" hidden="1">'案件進捗管理'!$A$4:$R$105</definedName>
  </definedNames>
  <calcPr calcId="124519" fullCalcOnLoad="1"/>
</workbook>
</file>

<file path=xl/styles.xml><?xml version="1.0" encoding="utf-8"?>
<styleSheet xmlns="http://schemas.openxmlformats.org/spreadsheetml/2006/main">
  <numFmts count="11">
    <numFmt numFmtId="164" formatCode="0.0&quot;h&quot;"/>
    <numFmt numFmtId="165" formatCode="yyyy-mm-dd"/>
    <numFmt numFmtId="166" formatCode="m/d"/>
    <numFmt numFmtId="167" formatCode="yyyy/m/d"/>
    <numFmt numFmtId="168" formatCode="0&quot;日&quot;"/>
    <numFmt numFmtId="169" formatCode="0&quot;件&quot;"/>
    <numFmt numFmtId="170" formatCode="0.0%"/>
    <numFmt numFmtId="171" formatCode="0.0&quot;h/件&quot;"/>
    <numFmt numFmtId="172" formatCode="0&quot;h&quot;"/>
    <numFmt numFmtId="173" formatCode="0&quot;名&quot;"/>
    <numFmt numFmtId="174" formatCode="+0.0&quot;h&quot;;-0.0&quot;h&quot;;0"/>
  </numFmts>
  <fonts count="32">
    <font>
      <name val="Calibri"/>
      <family val="2"/>
      <color theme="1"/>
      <sz val="11"/>
      <scheme val="minor"/>
    </font>
    <font>
      <name val="Arial"/>
      <b val="1"/>
      <color rgb="00FFFFFF"/>
      <sz val="16"/>
    </font>
    <font>
      <name val="Arial"/>
      <color rgb="00595959"/>
      <sz val="9"/>
    </font>
    <font>
      <name val="Arial"/>
      <b val="1"/>
      <color rgb="009C0006"/>
      <sz val="9"/>
    </font>
    <font>
      <name val="Arial"/>
      <b val="1"/>
      <color rgb="00000000"/>
      <sz val="9"/>
    </font>
    <font>
      <name val="Arial"/>
      <b val="1"/>
      <color rgb="008A6100"/>
      <sz val="9"/>
    </font>
    <font>
      <name val="Arial"/>
      <b val="1"/>
      <color rgb="001E6B34"/>
      <sz val="9"/>
    </font>
    <font>
      <name val="Arial"/>
      <b val="1"/>
      <color rgb="00FFFFFF"/>
      <sz val="10"/>
    </font>
    <font>
      <name val="Arial"/>
      <b val="1"/>
      <color rgb="00000000"/>
      <sz val="10"/>
    </font>
    <font>
      <name val="Arial"/>
      <b val="1"/>
      <color rgb="002E4A7D"/>
      <sz val="10"/>
    </font>
    <font>
      <name val="Arial"/>
      <color rgb="00000000"/>
      <sz val="9"/>
    </font>
    <font>
      <name val="Arial"/>
      <color rgb="00000000"/>
      <sz val="10"/>
    </font>
    <font>
      <name val="Arial"/>
      <b val="1"/>
      <color rgb="002E4A7D"/>
      <sz val="11"/>
    </font>
    <font>
      <name val="Arial"/>
      <b val="1"/>
      <color rgb="002E4A7D"/>
      <sz val="9"/>
    </font>
    <font>
      <name val="Arial"/>
      <b val="1"/>
      <color rgb="00595959"/>
      <sz val="9"/>
    </font>
    <font>
      <name val="Arial"/>
      <b val="1"/>
      <color rgb="000000FF"/>
      <sz val="10"/>
    </font>
    <font>
      <name val="Arial"/>
      <b val="1"/>
      <color rgb="001E6B34"/>
      <sz val="10"/>
    </font>
    <font>
      <name val="Arial"/>
      <b val="1"/>
      <color rgb="00FFFFFF"/>
      <sz val="9"/>
    </font>
    <font>
      <name val="Arial"/>
      <b val="1"/>
      <color rgb="00FFFFFF"/>
      <sz val="8"/>
    </font>
    <font>
      <name val="Arial"/>
      <b val="1"/>
      <color rgb="00FFD9D9"/>
      <sz val="8"/>
    </font>
    <font>
      <name val="Arial"/>
      <b val="1"/>
      <color rgb="000000FF"/>
      <sz val="9"/>
    </font>
    <font>
      <name val="Arial"/>
      <b val="1"/>
      <color rgb="001E6B34"/>
      <sz val="8"/>
    </font>
    <font>
      <name val="Arial"/>
      <color rgb="008A6100"/>
      <sz val="9"/>
    </font>
    <font>
      <name val="Arial"/>
      <b val="1"/>
      <color rgb="00FFFFFF"/>
      <sz val="11"/>
    </font>
    <font>
      <name val="Arial"/>
      <b val="1"/>
      <color rgb="002E4A7D"/>
      <sz val="20"/>
    </font>
    <font>
      <name val="Arial"/>
      <color rgb="00595959"/>
      <sz val="8"/>
    </font>
    <font>
      <name val="Arial"/>
      <b val="1"/>
      <color rgb="008A6100"/>
      <sz val="20"/>
    </font>
    <font>
      <name val="Arial"/>
      <b val="1"/>
      <color rgb="009C0006"/>
      <sz val="20"/>
    </font>
    <font>
      <name val="Arial"/>
      <b val="1"/>
      <color rgb="002E4A7D"/>
      <sz val="12"/>
    </font>
    <font>
      <name val="Arial"/>
      <b val="1"/>
      <color rgb="000000FF"/>
      <sz val="20"/>
    </font>
    <font>
      <name val="Arial"/>
      <b val="1"/>
      <color rgb="000000FF"/>
      <sz val="11"/>
    </font>
    <font>
      <name val="Arial"/>
      <b val="1"/>
      <color rgb="001E6B34"/>
      <sz val="11"/>
    </font>
  </fonts>
  <fills count="24">
    <fill>
      <patternFill/>
    </fill>
    <fill>
      <patternFill patternType="gray125"/>
    </fill>
    <fill>
      <patternFill patternType="solid">
        <fgColor rgb="001F3864"/>
      </patternFill>
    </fill>
    <fill>
      <patternFill patternType="solid">
        <fgColor rgb="00D9E2F3"/>
      </patternFill>
    </fill>
    <fill>
      <patternFill patternType="solid">
        <fgColor rgb="00FCE4D6"/>
      </patternFill>
    </fill>
    <fill>
      <patternFill patternType="solid">
        <fgColor rgb="00E2EFDA"/>
      </patternFill>
    </fill>
    <fill>
      <patternFill patternType="solid">
        <fgColor rgb="00F2F2F2"/>
      </patternFill>
    </fill>
    <fill>
      <patternFill patternType="solid">
        <fgColor rgb="00FFF7E0"/>
      </patternFill>
    </fill>
    <fill>
      <patternFill patternType="solid">
        <fgColor rgb="00F7F9FC"/>
      </patternFill>
    </fill>
    <fill>
      <patternFill patternType="solid">
        <fgColor rgb="002E4A7D"/>
      </patternFill>
    </fill>
    <fill>
      <patternFill patternType="solid">
        <fgColor rgb="00FDEDEE"/>
      </patternFill>
    </fill>
    <fill>
      <patternFill patternType="solid">
        <fgColor rgb="00EDF2FA"/>
      </patternFill>
    </fill>
    <fill>
      <patternFill patternType="solid">
        <fgColor rgb="00BFBFBF"/>
      </patternFill>
    </fill>
    <fill>
      <patternFill patternType="solid">
        <fgColor rgb="002E75B6"/>
      </patternFill>
    </fill>
    <fill>
      <patternFill patternType="solid">
        <fgColor rgb="009DC3E6"/>
      </patternFill>
    </fill>
    <fill>
      <patternFill patternType="solid">
        <fgColor rgb="00ED7D31"/>
      </patternFill>
    </fill>
    <fill>
      <patternFill patternType="solid">
        <fgColor rgb="0070AD47"/>
      </patternFill>
    </fill>
    <fill>
      <patternFill patternType="solid">
        <fgColor rgb="00FFD966"/>
      </patternFill>
    </fill>
    <fill>
      <patternFill patternType="solid">
        <fgColor rgb="00EFEFEF"/>
      </patternFill>
    </fill>
    <fill>
      <patternFill patternType="solid">
        <fgColor rgb="00FFF2CC"/>
      </patternFill>
    </fill>
    <fill>
      <patternFill patternType="solid">
        <fgColor rgb="00FFFFFF"/>
      </patternFill>
    </fill>
    <fill>
      <patternFill patternType="solid">
        <fgColor rgb="00FFFDF5"/>
      </patternFill>
    </fill>
    <fill>
      <patternFill patternType="solid">
        <fgColor rgb="008A6100"/>
      </patternFill>
    </fill>
    <fill>
      <patternFill patternType="solid">
        <fgColor rgb="009C0006"/>
      </patternFill>
    </fill>
  </fills>
  <borders count="30">
    <border>
      <left/>
      <right/>
      <top/>
      <bottom/>
      <diagonal/>
    </border>
    <border>
      <left style="thin">
        <color rgb="00B4C6E7"/>
      </left>
      <right style="thin">
        <color rgb="00B4C6E7"/>
      </right>
      <top style="thin">
        <color rgb="00B4C6E7"/>
      </top>
      <bottom style="thin">
        <color rgb="00B4C6E7"/>
      </bottom>
    </border>
    <border>
      <left style="hair">
        <color rgb="00D9D9D9"/>
      </left>
      <right style="hair">
        <color rgb="00D9D9D9"/>
      </right>
      <top style="hair">
        <color rgb="00D9D9D9"/>
      </top>
      <bottom style="hair">
        <color rgb="00D9D9D9"/>
      </bottom>
    </border>
    <border>
      <left style="medium">
        <color rgb="001E6B34"/>
      </left>
      <right style="thin">
        <color rgb="00B4C6E7"/>
      </right>
      <top style="thin">
        <color rgb="00B4C6E7"/>
      </top>
      <bottom style="thin">
        <color rgb="00B4C6E7"/>
      </bottom>
    </border>
    <border>
      <left style="medium">
        <color rgb="001E6B34"/>
      </left>
      <right style="hair">
        <color rgb="00D9D9D9"/>
      </right>
      <top style="hair">
        <color rgb="00D9D9D9"/>
      </top>
      <bottom style="hair">
        <color rgb="00D9D9D9"/>
      </bottom>
    </border>
    <border>
      <left style="medium">
        <color rgb="002E4A7D"/>
      </left>
      <right style="thin">
        <color rgb="00EDF2FA"/>
      </right>
      <top style="medium">
        <color rgb="002E4A7D"/>
      </top>
      <bottom style="thin">
        <color rgb="00EDF2FA"/>
      </bottom>
    </border>
    <border>
      <left style="thin">
        <color rgb="00EDF2FA"/>
      </left>
      <right style="thin">
        <color rgb="00EDF2FA"/>
      </right>
      <top style="medium">
        <color rgb="002E4A7D"/>
      </top>
      <bottom style="thin">
        <color rgb="00EDF2FA"/>
      </bottom>
    </border>
    <border>
      <left style="thin">
        <color rgb="00EDF2FA"/>
      </left>
      <right style="medium">
        <color rgb="002E4A7D"/>
      </right>
      <top style="medium">
        <color rgb="002E4A7D"/>
      </top>
      <bottom style="thin">
        <color rgb="00EDF2FA"/>
      </bottom>
    </border>
    <border>
      <left style="medium">
        <color rgb="002E4A7D"/>
      </left>
      <right style="thin">
        <color rgb="00EDF2FA"/>
      </right>
      <top style="thin">
        <color rgb="00EDF2FA"/>
      </top>
      <bottom style="thin">
        <color rgb="00EDF2FA"/>
      </bottom>
    </border>
    <border>
      <left style="thin">
        <color rgb="00EDF2FA"/>
      </left>
      <right style="thin">
        <color rgb="00EDF2FA"/>
      </right>
      <top style="thin">
        <color rgb="00EDF2FA"/>
      </top>
      <bottom style="thin">
        <color rgb="00EDF2FA"/>
      </bottom>
    </border>
    <border>
      <left style="thin">
        <color rgb="00EDF2FA"/>
      </left>
      <right style="medium">
        <color rgb="002E4A7D"/>
      </right>
      <top style="thin">
        <color rgb="00EDF2FA"/>
      </top>
      <bottom style="thin">
        <color rgb="00EDF2FA"/>
      </bottom>
    </border>
    <border>
      <left style="medium">
        <color rgb="002E4A7D"/>
      </left>
      <right style="thin">
        <color rgb="00EDF2FA"/>
      </right>
      <top style="thin">
        <color rgb="00EDF2FA"/>
      </top>
      <bottom style="medium">
        <color rgb="002E4A7D"/>
      </bottom>
    </border>
    <border>
      <left style="thin">
        <color rgb="00EDF2FA"/>
      </left>
      <right style="thin">
        <color rgb="00EDF2FA"/>
      </right>
      <top style="thin">
        <color rgb="00EDF2FA"/>
      </top>
      <bottom style="medium">
        <color rgb="002E4A7D"/>
      </bottom>
    </border>
    <border>
      <left style="thin">
        <color rgb="00EDF2FA"/>
      </left>
      <right style="medium">
        <color rgb="002E4A7D"/>
      </right>
      <top style="thin">
        <color rgb="00EDF2FA"/>
      </top>
      <bottom style="medium">
        <color rgb="002E4A7D"/>
      </bottom>
    </border>
    <border>
      <left style="medium">
        <color rgb="008A6100"/>
      </left>
      <right style="thin">
        <color rgb="00EDF2FA"/>
      </right>
      <top style="medium">
        <color rgb="008A6100"/>
      </top>
      <bottom style="thin">
        <color rgb="00EDF2FA"/>
      </bottom>
    </border>
    <border>
      <left style="thin">
        <color rgb="00EDF2FA"/>
      </left>
      <right style="thin">
        <color rgb="00EDF2FA"/>
      </right>
      <top style="medium">
        <color rgb="008A6100"/>
      </top>
      <bottom style="thin">
        <color rgb="00EDF2FA"/>
      </bottom>
    </border>
    <border>
      <left style="thin">
        <color rgb="00EDF2FA"/>
      </left>
      <right style="medium">
        <color rgb="008A6100"/>
      </right>
      <top style="medium">
        <color rgb="008A6100"/>
      </top>
      <bottom style="thin">
        <color rgb="00EDF2FA"/>
      </bottom>
    </border>
    <border>
      <left style="medium">
        <color rgb="008A6100"/>
      </left>
      <right style="thin">
        <color rgb="00EDF2FA"/>
      </right>
      <top style="thin">
        <color rgb="00EDF2FA"/>
      </top>
      <bottom style="thin">
        <color rgb="00EDF2FA"/>
      </bottom>
    </border>
    <border>
      <left style="thin">
        <color rgb="00EDF2FA"/>
      </left>
      <right style="medium">
        <color rgb="008A6100"/>
      </right>
      <top style="thin">
        <color rgb="00EDF2FA"/>
      </top>
      <bottom style="thin">
        <color rgb="00EDF2FA"/>
      </bottom>
    </border>
    <border>
      <left style="medium">
        <color rgb="008A6100"/>
      </left>
      <right style="thin">
        <color rgb="00EDF2FA"/>
      </right>
      <top style="thin">
        <color rgb="00EDF2FA"/>
      </top>
      <bottom style="medium">
        <color rgb="008A6100"/>
      </bottom>
    </border>
    <border>
      <left style="thin">
        <color rgb="00EDF2FA"/>
      </left>
      <right style="thin">
        <color rgb="00EDF2FA"/>
      </right>
      <top style="thin">
        <color rgb="00EDF2FA"/>
      </top>
      <bottom style="medium">
        <color rgb="008A6100"/>
      </bottom>
    </border>
    <border>
      <left style="thin">
        <color rgb="00EDF2FA"/>
      </left>
      <right style="medium">
        <color rgb="008A6100"/>
      </right>
      <top style="thin">
        <color rgb="00EDF2FA"/>
      </top>
      <bottom style="medium">
        <color rgb="008A6100"/>
      </bottom>
    </border>
    <border>
      <left style="medium">
        <color rgb="009C0006"/>
      </left>
      <right style="thin">
        <color rgb="00EDF2FA"/>
      </right>
      <top style="medium">
        <color rgb="009C0006"/>
      </top>
      <bottom style="thin">
        <color rgb="00EDF2FA"/>
      </bottom>
    </border>
    <border>
      <left style="thin">
        <color rgb="00EDF2FA"/>
      </left>
      <right style="thin">
        <color rgb="00EDF2FA"/>
      </right>
      <top style="medium">
        <color rgb="009C0006"/>
      </top>
      <bottom style="thin">
        <color rgb="00EDF2FA"/>
      </bottom>
    </border>
    <border>
      <left style="thin">
        <color rgb="00EDF2FA"/>
      </left>
      <right style="medium">
        <color rgb="009C0006"/>
      </right>
      <top style="medium">
        <color rgb="009C0006"/>
      </top>
      <bottom style="thin">
        <color rgb="00EDF2FA"/>
      </bottom>
    </border>
    <border>
      <left style="medium">
        <color rgb="009C0006"/>
      </left>
      <right style="thin">
        <color rgb="00EDF2FA"/>
      </right>
      <top style="thin">
        <color rgb="00EDF2FA"/>
      </top>
      <bottom style="thin">
        <color rgb="00EDF2FA"/>
      </bottom>
    </border>
    <border>
      <left style="thin">
        <color rgb="00EDF2FA"/>
      </left>
      <right style="medium">
        <color rgb="009C0006"/>
      </right>
      <top style="thin">
        <color rgb="00EDF2FA"/>
      </top>
      <bottom style="thin">
        <color rgb="00EDF2FA"/>
      </bottom>
    </border>
    <border>
      <left style="medium">
        <color rgb="009C0006"/>
      </left>
      <right style="thin">
        <color rgb="00EDF2FA"/>
      </right>
      <top style="thin">
        <color rgb="00EDF2FA"/>
      </top>
      <bottom style="medium">
        <color rgb="009C0006"/>
      </bottom>
    </border>
    <border>
      <left style="thin">
        <color rgb="00EDF2FA"/>
      </left>
      <right style="thin">
        <color rgb="00EDF2FA"/>
      </right>
      <top style="thin">
        <color rgb="00EDF2FA"/>
      </top>
      <bottom style="medium">
        <color rgb="009C0006"/>
      </bottom>
    </border>
    <border>
      <left style="thin">
        <color rgb="00EDF2FA"/>
      </left>
      <right style="medium">
        <color rgb="009C0006"/>
      </right>
      <top style="thin">
        <color rgb="00EDF2FA"/>
      </top>
      <bottom style="medium">
        <color rgb="009C0006"/>
      </bottom>
    </border>
  </borders>
  <cellStyleXfs count="1">
    <xf numFmtId="0" fontId="0" fillId="0" borderId="0"/>
  </cellStyleXfs>
  <cellXfs count="149">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0" fillId="3" borderId="0" pivotButton="0" quotePrefix="0" xfId="0"/>
    <xf numFmtId="0" fontId="3" fillId="0" borderId="0" applyAlignment="1" pivotButton="0" quotePrefix="0" xfId="0">
      <alignment horizontal="left" vertical="center"/>
    </xf>
    <xf numFmtId="0" fontId="4" fillId="3" borderId="1" applyAlignment="1" pivotButton="0" quotePrefix="0" xfId="0">
      <alignment horizontal="center" vertical="center"/>
    </xf>
    <xf numFmtId="0" fontId="0" fillId="3" borderId="1" pivotButton="0" quotePrefix="0" xfId="0"/>
    <xf numFmtId="0" fontId="5" fillId="4" borderId="1" applyAlignment="1" pivotButton="0" quotePrefix="0" xfId="0">
      <alignment horizontal="center" vertical="center"/>
    </xf>
    <xf numFmtId="0" fontId="0" fillId="4" borderId="1" pivotButton="0" quotePrefix="0" xfId="0"/>
    <xf numFmtId="0" fontId="6" fillId="5" borderId="1" applyAlignment="1" pivotButton="0" quotePrefix="0" xfId="0">
      <alignment horizontal="center" vertical="center"/>
    </xf>
    <xf numFmtId="0" fontId="0" fillId="5" borderId="1"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1" fillId="0" borderId="1" applyAlignment="1" pivotButton="0" quotePrefix="0" xfId="0">
      <alignment horizontal="center" vertical="center" wrapText="1"/>
    </xf>
    <xf numFmtId="9" fontId="12" fillId="6" borderId="1" applyAlignment="1" pivotButton="0" quotePrefix="0" xfId="0">
      <alignment horizontal="center" vertical="center" wrapText="1"/>
    </xf>
    <xf numFmtId="164" fontId="11"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7" borderId="1" applyAlignment="1" pivotButton="0" quotePrefix="0" xfId="0">
      <alignment horizontal="left" vertical="top" wrapText="1"/>
    </xf>
    <xf numFmtId="0" fontId="8"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applyAlignment="1" pivotButton="0" quotePrefix="0" xfId="0">
      <alignment horizontal="left" vertical="top" wrapText="1"/>
    </xf>
    <xf numFmtId="0" fontId="11" fillId="8"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9" borderId="1" applyAlignment="1" pivotButton="0" quotePrefix="0" xfId="0">
      <alignment horizontal="left" vertical="center" wrapText="1"/>
    </xf>
    <xf numFmtId="0" fontId="7" fillId="9" borderId="1" applyAlignment="1" pivotButton="0" quotePrefix="0" xfId="0">
      <alignment horizontal="center" vertical="center" wrapText="1"/>
    </xf>
    <xf numFmtId="9" fontId="7" fillId="9" borderId="1" applyAlignment="1" pivotButton="0" quotePrefix="0" xfId="0">
      <alignment horizontal="center" vertical="center" wrapText="1"/>
    </xf>
    <xf numFmtId="164" fontId="7"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3" fillId="10" borderId="1" applyAlignment="1" pivotButton="0" quotePrefix="0" xfId="0">
      <alignment horizontal="left" vertical="center" wrapText="1"/>
    </xf>
    <xf numFmtId="0" fontId="0" fillId="10" borderId="1" pivotButton="0" quotePrefix="0" xfId="0"/>
    <xf numFmtId="0" fontId="13" fillId="11" borderId="1" applyAlignment="1" pivotButton="0" quotePrefix="0" xfId="0">
      <alignment horizontal="left" vertical="center" wrapText="1"/>
    </xf>
    <xf numFmtId="0" fontId="0" fillId="11" borderId="1" pivotButton="0" quotePrefix="0" xfId="0"/>
    <xf numFmtId="0" fontId="14" fillId="6" borderId="1" applyAlignment="1" pivotButton="0" quotePrefix="0" xfId="0">
      <alignment horizontal="left" vertical="center" wrapText="1"/>
    </xf>
    <xf numFmtId="0" fontId="0" fillId="6" borderId="1" pivotButton="0" quotePrefix="0" xfId="0"/>
    <xf numFmtId="0" fontId="14" fillId="0" borderId="0" pivotButton="0" quotePrefix="0" xfId="0"/>
    <xf numFmtId="0" fontId="15" fillId="7" borderId="1" applyAlignment="1" pivotButton="0" quotePrefix="0" xfId="0">
      <alignment horizontal="center" vertical="center"/>
    </xf>
    <xf numFmtId="0" fontId="2" fillId="0" borderId="0" pivotButton="0" quotePrefix="0" xfId="0"/>
    <xf numFmtId="0" fontId="14" fillId="0" borderId="0" applyAlignment="1" pivotButton="0" quotePrefix="0" xfId="0">
      <alignment horizontal="center" vertical="center"/>
    </xf>
    <xf numFmtId="0" fontId="0" fillId="12" borderId="1" pivotButton="0" quotePrefix="0" xfId="0"/>
    <xf numFmtId="0" fontId="14" fillId="0" borderId="0" applyAlignment="1" pivotButton="0" quotePrefix="0" xfId="0">
      <alignment horizontal="left" vertical="center"/>
    </xf>
    <xf numFmtId="0" fontId="0" fillId="13" borderId="1" pivotButton="0" quotePrefix="0" xfId="0"/>
    <xf numFmtId="0" fontId="0" fillId="14" borderId="1" pivotButton="0" quotePrefix="0" xfId="0"/>
    <xf numFmtId="0" fontId="0" fillId="15" borderId="1" pivotButton="0" quotePrefix="0" xfId="0"/>
    <xf numFmtId="0" fontId="0" fillId="16" borderId="1" pivotButton="0" quotePrefix="0" xfId="0"/>
    <xf numFmtId="0" fontId="16" fillId="17" borderId="1" applyAlignment="1" pivotButton="0" quotePrefix="0" xfId="0">
      <alignment horizontal="center" vertical="center"/>
    </xf>
    <xf numFmtId="0" fontId="17" fillId="9" borderId="1" applyAlignment="1" pivotButton="0" quotePrefix="0" xfId="0">
      <alignment horizontal="center" vertical="center"/>
    </xf>
    <xf numFmtId="0" fontId="0" fillId="9" borderId="1" pivotButton="0" quotePrefix="0" xfId="0"/>
    <xf numFmtId="0" fontId="17" fillId="2" borderId="1" applyAlignment="1" pivotButton="0" quotePrefix="0" xfId="0">
      <alignment horizontal="center" vertical="center" wrapText="1"/>
    </xf>
    <xf numFmtId="166" fontId="18" fillId="2" borderId="1" applyAlignment="1" pivotButton="0" quotePrefix="0" xfId="0">
      <alignment horizontal="center" vertical="center"/>
    </xf>
    <xf numFmtId="166" fontId="21" fillId="17" borderId="3" applyAlignment="1" pivotButton="0" quotePrefix="0" xfId="0">
      <alignment horizontal="center" vertical="center"/>
    </xf>
    <xf numFmtId="0" fontId="0" fillId="2" borderId="1" pivotButton="0" quotePrefix="0" xfId="0"/>
    <xf numFmtId="0" fontId="18" fillId="2" borderId="1" applyAlignment="1" pivotButton="0" quotePrefix="0" xfId="0">
      <alignment horizontal="center" vertical="center"/>
    </xf>
    <xf numFmtId="0" fontId="19" fillId="2" borderId="1" applyAlignment="1" pivotButton="0" quotePrefix="0" xfId="0">
      <alignment horizontal="center" vertical="center"/>
    </xf>
    <xf numFmtId="0" fontId="21" fillId="17" borderId="3" applyAlignment="1" pivotButton="0" quotePrefix="0" xfId="0">
      <alignment horizontal="center" vertical="center"/>
    </xf>
    <xf numFmtId="0" fontId="10" fillId="0" borderId="1" applyAlignment="1" pivotButton="0" quotePrefix="0" xfId="0">
      <alignment horizontal="center" vertical="center"/>
    </xf>
    <xf numFmtId="0" fontId="4" fillId="0" borderId="1" applyAlignment="1" pivotButton="0" quotePrefix="0" xfId="0">
      <alignment horizontal="left" vertical="center"/>
    </xf>
    <xf numFmtId="0" fontId="4" fillId="12" borderId="1" applyAlignment="1" pivotButton="0" quotePrefix="0" xfId="0">
      <alignment horizontal="center" vertical="center"/>
    </xf>
    <xf numFmtId="167" fontId="10" fillId="0" borderId="1" applyAlignment="1" pivotButton="0" quotePrefix="0" xfId="0">
      <alignment horizontal="center" vertical="center"/>
    </xf>
    <xf numFmtId="168" fontId="10" fillId="0" borderId="1" applyAlignment="1" pivotButton="0" quotePrefix="0" xfId="0">
      <alignment horizontal="center" vertical="center"/>
    </xf>
    <xf numFmtId="9" fontId="20" fillId="7" borderId="1" applyAlignment="1" pivotButton="0" quotePrefix="0" xfId="0">
      <alignment horizontal="center" vertical="center"/>
    </xf>
    <xf numFmtId="0" fontId="0" fillId="12" borderId="2" pivotButton="0" quotePrefix="0" xfId="0"/>
    <xf numFmtId="0" fontId="0" fillId="0" borderId="2" pivotButton="0" quotePrefix="0" xfId="0"/>
    <xf numFmtId="0" fontId="0" fillId="18" borderId="2" pivotButton="0" quotePrefix="0" xfId="0"/>
    <xf numFmtId="0" fontId="0" fillId="0" borderId="4" pivotButton="0" quotePrefix="0" xfId="0"/>
    <xf numFmtId="0" fontId="17" fillId="13" borderId="1" applyAlignment="1" pivotButton="0" quotePrefix="0" xfId="0">
      <alignment horizontal="center" vertical="center"/>
    </xf>
    <xf numFmtId="0" fontId="0" fillId="13" borderId="2" pivotButton="0" quotePrefix="0" xfId="0"/>
    <xf numFmtId="0" fontId="4" fillId="14" borderId="1" applyAlignment="1" pivotButton="0" quotePrefix="0" xfId="0">
      <alignment horizontal="center" vertical="center"/>
    </xf>
    <xf numFmtId="0" fontId="0" fillId="14" borderId="2" pivotButton="0" quotePrefix="0" xfId="0"/>
    <xf numFmtId="0" fontId="17" fillId="15" borderId="1" applyAlignment="1" pivotButton="0" quotePrefix="0" xfId="0">
      <alignment horizontal="center" vertical="center"/>
    </xf>
    <xf numFmtId="0" fontId="0" fillId="15" borderId="2" pivotButton="0" quotePrefix="0" xfId="0"/>
    <xf numFmtId="0" fontId="17" fillId="16" borderId="1" applyAlignment="1" pivotButton="0" quotePrefix="0" xfId="0">
      <alignment horizontal="center" vertical="center"/>
    </xf>
    <xf numFmtId="0" fontId="0" fillId="16" borderId="4" pivotButton="0" quotePrefix="0" xfId="0"/>
    <xf numFmtId="0" fontId="0" fillId="16" borderId="2" pivotButton="0" quotePrefix="0" xfId="0"/>
    <xf numFmtId="0" fontId="0" fillId="11" borderId="0" pivotButton="0" quotePrefix="0" xfId="0"/>
    <xf numFmtId="0" fontId="0" fillId="10" borderId="0" pivotButton="0" quotePrefix="0" xfId="0"/>
    <xf numFmtId="0" fontId="0" fillId="6" borderId="0" pivotButton="0" quotePrefix="0" xfId="0"/>
    <xf numFmtId="0" fontId="5" fillId="19" borderId="1" applyAlignment="1" pivotButton="0" quotePrefix="0" xfId="0">
      <alignment horizontal="center" vertical="center" wrapText="1"/>
    </xf>
    <xf numFmtId="0" fontId="22" fillId="19" borderId="1" applyAlignment="1" pivotButton="0" quotePrefix="0" xfId="0">
      <alignment horizontal="left" vertical="center" wrapText="1"/>
    </xf>
    <xf numFmtId="0" fontId="22" fillId="19" borderId="1" applyAlignment="1" pivotButton="0" quotePrefix="0" xfId="0">
      <alignment horizontal="center" vertical="center" wrapText="1"/>
    </xf>
    <xf numFmtId="167" fontId="22" fillId="19" borderId="1" applyAlignment="1" pivotButton="0" quotePrefix="0" xfId="0">
      <alignment horizontal="center" vertical="center" wrapText="1"/>
    </xf>
    <xf numFmtId="0" fontId="10" fillId="6" borderId="1" applyAlignment="1" pivotButton="0" quotePrefix="0" xfId="0">
      <alignment horizontal="center" vertical="center" wrapText="1"/>
    </xf>
    <xf numFmtId="0" fontId="13" fillId="20" borderId="1" applyAlignment="1" pivotButton="0" quotePrefix="0" xfId="0">
      <alignment horizontal="left" vertical="center" wrapText="1"/>
    </xf>
    <xf numFmtId="0" fontId="10" fillId="7" borderId="1" applyAlignment="1" pivotButton="0" quotePrefix="0" xfId="0">
      <alignment horizontal="center" vertical="center" wrapText="1"/>
    </xf>
    <xf numFmtId="167" fontId="10" fillId="7" borderId="1" applyAlignment="1" pivotButton="0" quotePrefix="0" xfId="0">
      <alignment horizontal="center" vertical="center" wrapText="1"/>
    </xf>
    <xf numFmtId="0" fontId="10" fillId="7" borderId="1" applyAlignment="1" pivotButton="0" quotePrefix="0" xfId="0">
      <alignment horizontal="left" vertical="center" wrapText="1"/>
    </xf>
    <xf numFmtId="0" fontId="10" fillId="21" borderId="1" applyAlignment="1" pivotButton="0" quotePrefix="0" xfId="0">
      <alignment horizontal="center" vertical="center" wrapText="1"/>
    </xf>
    <xf numFmtId="167" fontId="10" fillId="21" borderId="1" applyAlignment="1" pivotButton="0" quotePrefix="0" xfId="0">
      <alignment horizontal="center" vertical="center" wrapText="1"/>
    </xf>
    <xf numFmtId="0" fontId="10" fillId="21" borderId="1" applyAlignment="1" pivotButton="0" quotePrefix="0" xfId="0">
      <alignment horizontal="left" vertical="center" wrapText="1"/>
    </xf>
    <xf numFmtId="0" fontId="23" fillId="9" borderId="0" applyAlignment="1" pivotButton="0" quotePrefix="0" xfId="0">
      <alignment horizontal="left" vertical="center"/>
    </xf>
    <xf numFmtId="0" fontId="0" fillId="9" borderId="0" pivotButton="0" quotePrefix="0" xfId="0"/>
    <xf numFmtId="0" fontId="17" fillId="9" borderId="5" applyAlignment="1" pivotButton="0" quotePrefix="0" xfId="0">
      <alignment horizontal="center" vertical="center" wrapText="1"/>
    </xf>
    <xf numFmtId="0" fontId="0" fillId="9" borderId="6" pivotButton="0" quotePrefix="0" xfId="0"/>
    <xf numFmtId="0" fontId="0" fillId="9" borderId="7" pivotButton="0" quotePrefix="0" xfId="0"/>
    <xf numFmtId="169" fontId="24" fillId="11" borderId="8" applyAlignment="1" pivotButton="0" quotePrefix="0" xfId="0">
      <alignment horizontal="center" vertical="center"/>
    </xf>
    <xf numFmtId="0" fontId="0" fillId="11" borderId="9" pivotButton="0" quotePrefix="0" xfId="0"/>
    <xf numFmtId="0" fontId="0" fillId="11" borderId="10" pivotButton="0" quotePrefix="0" xfId="0"/>
    <xf numFmtId="170" fontId="24" fillId="11" borderId="8" applyAlignment="1" pivotButton="0" quotePrefix="0" xfId="0">
      <alignment horizontal="center" vertical="center"/>
    </xf>
    <xf numFmtId="0" fontId="25" fillId="11" borderId="11" applyAlignment="1" pivotButton="0" quotePrefix="0" xfId="0">
      <alignment horizontal="center" vertical="center" wrapText="1"/>
    </xf>
    <xf numFmtId="0" fontId="0" fillId="11" borderId="12" pivotButton="0" quotePrefix="0" xfId="0"/>
    <xf numFmtId="0" fontId="0" fillId="11" borderId="13" pivotButton="0" quotePrefix="0" xfId="0"/>
    <xf numFmtId="0" fontId="17" fillId="22" borderId="14" applyAlignment="1" pivotButton="0" quotePrefix="0" xfId="0">
      <alignment horizontal="center" vertical="center" wrapText="1"/>
    </xf>
    <xf numFmtId="0" fontId="0" fillId="22" borderId="15" pivotButton="0" quotePrefix="0" xfId="0"/>
    <xf numFmtId="0" fontId="0" fillId="22" borderId="16" pivotButton="0" quotePrefix="0" xfId="0"/>
    <xf numFmtId="0" fontId="17" fillId="23" borderId="22" applyAlignment="1" pivotButton="0" quotePrefix="0" xfId="0">
      <alignment horizontal="center" vertical="center" wrapText="1"/>
    </xf>
    <xf numFmtId="0" fontId="0" fillId="23" borderId="23" pivotButton="0" quotePrefix="0" xfId="0"/>
    <xf numFmtId="0" fontId="0" fillId="23" borderId="24" pivotButton="0" quotePrefix="0" xfId="0"/>
    <xf numFmtId="169" fontId="26" fillId="11" borderId="17" applyAlignment="1" pivotButton="0" quotePrefix="0" xfId="0">
      <alignment horizontal="center" vertical="center"/>
    </xf>
    <xf numFmtId="0" fontId="0" fillId="11" borderId="18" pivotButton="0" quotePrefix="0" xfId="0"/>
    <xf numFmtId="169" fontId="27" fillId="11" borderId="25" applyAlignment="1" pivotButton="0" quotePrefix="0" xfId="0">
      <alignment horizontal="center" vertical="center"/>
    </xf>
    <xf numFmtId="0" fontId="0" fillId="11" borderId="26" pivotButton="0" quotePrefix="0" xfId="0"/>
    <xf numFmtId="0" fontId="25" fillId="11" borderId="19" applyAlignment="1" pivotButton="0" quotePrefix="0" xfId="0">
      <alignment horizontal="center" vertical="center" wrapText="1"/>
    </xf>
    <xf numFmtId="0" fontId="0" fillId="11" borderId="20" pivotButton="0" quotePrefix="0" xfId="0"/>
    <xf numFmtId="0" fontId="0" fillId="11" borderId="21" pivotButton="0" quotePrefix="0" xfId="0"/>
    <xf numFmtId="0" fontId="25" fillId="11" borderId="27" applyAlignment="1" pivotButton="0" quotePrefix="0" xfId="0">
      <alignment horizontal="center" vertical="center" wrapText="1"/>
    </xf>
    <xf numFmtId="0" fontId="0" fillId="11" borderId="28" pivotButton="0" quotePrefix="0" xfId="0"/>
    <xf numFmtId="0" fontId="0" fillId="11" borderId="29" pivotButton="0" quotePrefix="0" xfId="0"/>
    <xf numFmtId="164" fontId="24" fillId="11" borderId="8" applyAlignment="1" pivotButton="0" quotePrefix="0" xfId="0">
      <alignment horizontal="center" vertical="center"/>
    </xf>
    <xf numFmtId="171" fontId="24" fillId="11" borderId="8" applyAlignment="1" pivotButton="0" quotePrefix="0" xfId="0">
      <alignment horizontal="center" vertical="center"/>
    </xf>
    <xf numFmtId="172" fontId="24" fillId="11" borderId="8" applyAlignment="1" pivotButton="0" quotePrefix="0" xfId="0">
      <alignment horizontal="center" vertical="center"/>
    </xf>
    <xf numFmtId="0" fontId="17" fillId="9" borderId="1" applyAlignment="1" pivotButton="0" quotePrefix="0" xfId="0">
      <alignment horizontal="center" vertical="center" wrapText="1"/>
    </xf>
    <xf numFmtId="0" fontId="28" fillId="11" borderId="1" applyAlignment="1" pivotButton="0" quotePrefix="0" xfId="0">
      <alignment horizontal="center" vertical="center" wrapText="1"/>
    </xf>
    <xf numFmtId="173" fontId="29" fillId="7" borderId="1" applyAlignment="1" pivotButton="0" quotePrefix="0" xfId="0">
      <alignment horizontal="center" vertical="center"/>
    </xf>
    <xf numFmtId="0" fontId="0" fillId="7" borderId="1" pivotButton="0" quotePrefix="0" xfId="0"/>
    <xf numFmtId="0" fontId="8" fillId="20" borderId="1" applyAlignment="1" pivotButton="0" quotePrefix="0" xfId="0">
      <alignment horizontal="center" vertical="center"/>
    </xf>
    <xf numFmtId="0" fontId="0" fillId="20" borderId="1" pivotButton="0" quotePrefix="0" xfId="0"/>
    <xf numFmtId="167" fontId="11" fillId="20" borderId="1" applyAlignment="1" pivotButton="0" quotePrefix="0" xfId="0">
      <alignment horizontal="center" vertical="center"/>
    </xf>
    <xf numFmtId="0" fontId="11" fillId="20" borderId="1" applyAlignment="1" pivotButton="0" quotePrefix="0" xfId="0">
      <alignment horizontal="center" vertical="center"/>
    </xf>
    <xf numFmtId="9" fontId="12" fillId="6" borderId="1" applyAlignment="1" pivotButton="0" quotePrefix="0" xfId="0">
      <alignment horizontal="center" vertical="center"/>
    </xf>
    <xf numFmtId="0" fontId="30" fillId="7" borderId="1" applyAlignment="1" pivotButton="0" quotePrefix="0" xfId="0">
      <alignment horizontal="center" vertical="center"/>
    </xf>
    <xf numFmtId="9" fontId="31" fillId="6" borderId="1" applyAlignment="1" pivotButton="0" quotePrefix="0" xfId="0">
      <alignment horizontal="center" vertical="center"/>
    </xf>
    <xf numFmtId="172" fontId="11" fillId="20" borderId="1" applyAlignment="1" pivotButton="0" quotePrefix="0" xfId="0">
      <alignment horizontal="center" vertical="center"/>
    </xf>
    <xf numFmtId="164" fontId="30" fillId="7" borderId="1" applyAlignment="1" pivotButton="0" quotePrefix="0" xfId="0">
      <alignment horizontal="center" vertical="center"/>
    </xf>
    <xf numFmtId="174" fontId="11" fillId="6" borderId="1" applyAlignment="1" pivotButton="0" quotePrefix="0" xfId="0">
      <alignment horizontal="center" vertical="center"/>
    </xf>
    <xf numFmtId="0" fontId="7" fillId="9" borderId="1" applyAlignment="1" pivotButton="0" quotePrefix="0" xfId="0">
      <alignment horizontal="center" vertical="center"/>
    </xf>
    <xf numFmtId="9" fontId="7" fillId="9" borderId="1" applyAlignment="1" pivotButton="0" quotePrefix="0" xfId="0">
      <alignment horizontal="center" vertical="center"/>
    </xf>
    <xf numFmtId="172" fontId="7" fillId="9" borderId="1" applyAlignment="1" pivotButton="0" quotePrefix="0" xfId="0">
      <alignment horizontal="center" vertical="center"/>
    </xf>
    <xf numFmtId="164" fontId="7" fillId="9" borderId="1" applyAlignment="1" pivotButton="0" quotePrefix="0" xfId="0">
      <alignment horizontal="center" vertical="center"/>
    </xf>
    <xf numFmtId="174" fontId="7" fillId="9" borderId="1" applyAlignment="1" pivotButton="0" quotePrefix="0" xfId="0">
      <alignment horizontal="center" vertical="center"/>
    </xf>
    <xf numFmtId="0" fontId="4" fillId="20" borderId="1" applyAlignment="1" pivotButton="0" quotePrefix="0" xfId="0">
      <alignment horizontal="center" vertical="center" wrapText="1"/>
    </xf>
    <xf numFmtId="0" fontId="10" fillId="20"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0" fillId="8" borderId="1" pivotButton="0" quotePrefix="0" xfId="0"/>
    <xf numFmtId="0" fontId="5" fillId="19" borderId="1" applyAlignment="1" pivotButton="0" quotePrefix="0" xfId="0">
      <alignment horizontal="left" vertical="center" wrapText="1"/>
    </xf>
    <xf numFmtId="0" fontId="0" fillId="19" borderId="1" pivotButton="0" quotePrefix="0" xfId="0"/>
  </cellXfs>
  <cellStyles count="1">
    <cellStyle name="Normal" xfId="0" builtinId="0" hidden="0"/>
  </cellStyles>
  <dxfs count="19">
    <dxf>
      <font>
        <name val="Arial"/>
        <b val="1"/>
        <color rgb="001E6B34"/>
        <sz val="10"/>
      </font>
      <fill>
        <patternFill patternType="solid">
          <fgColor rgb="00C6EFCE"/>
        </patternFill>
      </fill>
    </dxf>
    <dxf>
      <font>
        <name val="Arial"/>
        <b val="1"/>
        <color rgb="001F4E79"/>
        <sz val="10"/>
      </font>
      <fill>
        <patternFill patternType="solid">
          <fgColor rgb="00BDD7EE"/>
        </patternFill>
      </fill>
    </dxf>
    <dxf>
      <font>
        <name val="Arial"/>
        <b val="1"/>
        <color rgb="009C0006"/>
        <sz val="10"/>
      </font>
      <fill>
        <patternFill patternType="solid">
          <fgColor rgb="00FFC7CE"/>
        </patternFill>
      </fill>
    </dxf>
    <dxf>
      <font>
        <name val="Arial"/>
        <b val="1"/>
        <color rgb="008A6100"/>
        <sz val="10"/>
      </font>
      <fill>
        <patternFill patternType="solid">
          <fgColor rgb="00FFEB9C"/>
        </patternFill>
      </fill>
    </dxf>
    <dxf>
      <font>
        <name val="Arial"/>
        <b val="1"/>
        <color rgb="00595959"/>
        <sz val="10"/>
      </font>
      <fill>
        <patternFill patternType="solid">
          <fgColor rgb="00E7E7E7"/>
        </patternFill>
      </fill>
    </dxf>
    <dxf>
      <fill>
        <patternFill patternType="solid">
          <fgColor rgb="00FDEDEE"/>
        </patternFill>
      </fill>
    </dxf>
    <dxf>
      <fill>
        <patternFill patternType="solid">
          <fgColor rgb="00FFF8E1"/>
        </patternFill>
      </fill>
    </dxf>
    <dxf>
      <font>
        <name val="Arial"/>
        <b val="1"/>
        <color rgb="001E6B34"/>
        <sz val="9"/>
      </font>
    </dxf>
    <dxf>
      <font>
        <name val="Arial"/>
        <b val="1"/>
        <color rgb="001E6B34"/>
        <sz val="9"/>
      </font>
      <fill>
        <patternFill patternType="solid">
          <fgColor rgb="00C6EFCE"/>
        </patternFill>
      </fill>
    </dxf>
    <dxf>
      <font>
        <name val="Arial"/>
        <b val="1"/>
        <color rgb="008A6100"/>
        <sz val="9"/>
      </font>
      <fill>
        <patternFill patternType="solid">
          <fgColor rgb="00FFEB9C"/>
        </patternFill>
      </fill>
    </dxf>
    <dxf>
      <font>
        <name val="Arial"/>
        <b val="1"/>
        <color rgb="009C0006"/>
        <sz val="9"/>
      </font>
      <fill>
        <patternFill patternType="solid">
          <fgColor rgb="00FFC7CE"/>
        </patternFill>
      </fill>
    </dxf>
    <dxf>
      <font>
        <name val="Arial"/>
        <b val="1"/>
        <color rgb="00000000"/>
        <sz val="9"/>
      </font>
      <fill>
        <patternFill patternType="solid">
          <fgColor rgb="00E2EFDA"/>
        </patternFill>
      </fill>
    </dxf>
    <dxf>
      <font>
        <name val="Arial"/>
        <b val="1"/>
        <color rgb="00000000"/>
        <sz val="9"/>
      </font>
      <fill>
        <patternFill patternType="solid">
          <fgColor rgb="00FFF2CC"/>
        </patternFill>
      </fill>
    </dxf>
    <dxf>
      <font>
        <name val="Arial"/>
        <b val="1"/>
        <color rgb="00000000"/>
        <sz val="9"/>
      </font>
      <fill>
        <patternFill patternType="solid">
          <fgColor rgb="00FCE4D6"/>
        </patternFill>
      </fill>
    </dxf>
    <dxf>
      <fill>
        <patternFill patternType="solid">
          <fgColor rgb="00FFEB9C"/>
        </patternFill>
      </fill>
    </dxf>
    <dxf>
      <font>
        <name val="Arial"/>
        <b val="1"/>
        <color rgb="009C0006"/>
        <sz val="12"/>
      </font>
      <fill>
        <patternFill patternType="solid">
          <fgColor rgb="00FFC7CE"/>
        </patternFill>
      </fill>
    </dxf>
    <dxf>
      <font>
        <name val="Arial"/>
        <b val="1"/>
        <color rgb="001E6B34"/>
        <sz val="12"/>
      </font>
      <fill>
        <patternFill patternType="solid">
          <fgColor rgb="00C6EFCE"/>
        </patternFill>
      </fill>
    </dxf>
    <dxf>
      <font>
        <name val="Arial"/>
        <b val="1"/>
        <color rgb="001F4E79"/>
        <sz val="12"/>
      </font>
      <fill>
        <patternFill patternType="solid">
          <fgColor rgb="00BDD7EE"/>
        </patternFill>
      </fill>
    </dxf>
    <dxf>
      <font>
        <name val="Arial"/>
        <b val="1"/>
        <color rgb="001F4E79"/>
        <sz val="9"/>
      </font>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週間進捗率　計画 vs 実績</a:t>
            </a:r>
          </a:p>
        </rich>
      </tx>
    </title>
    <plotArea>
      <lineChart>
        <grouping val="standard"/>
        <ser>
          <idx val="0"/>
          <order val="0"/>
          <tx>
            <strRef>
              <f>'KPI・リスク管理'!J24</f>
            </strRef>
          </tx>
          <spPr>
            <a:ln w="28000">
              <a:solidFill>
                <a:srgbClr val="2E4A7D"/>
              </a:solidFill>
              <a:prstDash val="solid"/>
            </a:ln>
          </spPr>
          <marker>
            <symbol val="none"/>
            <spPr>
              <a:ln>
                <a:prstDash val="solid"/>
              </a:ln>
            </spPr>
          </marker>
          <cat>
            <numRef>
              <f>'KPI・リスク管理'!$B$25:$B$30</f>
            </numRef>
          </cat>
          <val>
            <numRef>
              <f>'KPI・リスク管理'!$J$25:$J$30</f>
            </numRef>
          </val>
          <smooth val="0"/>
        </ser>
        <ser>
          <idx val="1"/>
          <order val="1"/>
          <tx>
            <strRef>
              <f>'KPI・リスク管理'!N24</f>
            </strRef>
          </tx>
          <spPr>
            <a:ln w="28000">
              <a:solidFill>
                <a:srgbClr val="70AD47"/>
              </a:solidFill>
              <a:prstDash val="solid"/>
            </a:ln>
          </spPr>
          <marker>
            <symbol val="none"/>
            <spPr>
              <a:ln>
                <a:prstDash val="solid"/>
              </a:ln>
            </spPr>
          </marker>
          <cat>
            <numRef>
              <f>'KPI・リスク管理'!$B$25:$B$30</f>
            </numRef>
          </cat>
          <val>
            <numRef>
              <f>'KPI・リスク管理'!$N$25:$N$30</f>
            </numRef>
          </val>
          <smooth val="0"/>
        </ser>
        <axId val="10"/>
        <axId val="100"/>
      </lineChart>
      <catAx>
        <axId val="10"/>
        <scaling>
          <orientation val="minMax"/>
        </scaling>
        <axPos val="l"/>
        <title>
          <tx>
            <rich>
              <a:bodyPr/>
              <a:p>
                <a:pPr>
                  <a:defRPr/>
                </a:pPr>
                <a:r>
                  <a:t>週</a:t>
                </a:r>
              </a:p>
            </rich>
          </tx>
        </title>
        <majorTickMark val="none"/>
        <minorTickMark val="none"/>
        <crossAx val="100"/>
        <lblOffset val="100"/>
      </catAx>
      <valAx>
        <axId val="100"/>
        <scaling>
          <orientation val="minMax"/>
        </scaling>
        <axPos val="l"/>
        <majorGridlines/>
        <title>
          <tx>
            <rich>
              <a:bodyPr/>
              <a:p>
                <a:pPr>
                  <a:defRPr/>
                </a:pPr>
                <a:r>
                  <a:t>進捗率</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33</row>
      <rowOff>0</rowOff>
    </from>
    <ext cx="8640000" cy="34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L2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40" customWidth="1" min="3" max="3"/>
    <col width="10" customWidth="1" min="4" max="4"/>
    <col width="10" customWidth="1" min="5" max="5"/>
    <col width="9" customWidth="1" min="6" max="6"/>
    <col width="10" customWidth="1" min="7" max="7"/>
    <col width="8" customWidth="1" min="8" max="8"/>
    <col width="12" customWidth="1" min="9" max="9"/>
    <col width="40" customWidth="1" min="10" max="10"/>
    <col width="11" customWidth="1" min="11" max="11"/>
    <col width="24" customWidth="1" min="12" max="12"/>
  </cols>
  <sheetData>
    <row r="1" ht="34" customHeight="1">
      <c r="A1" s="1" t="inlineStr">
        <is>
          <t>給与計算100案件　10月完全移行　週間スケジュール（全体）</t>
        </is>
      </c>
      <c r="B1" s="2" t="n"/>
      <c r="C1" s="2" t="n"/>
      <c r="D1" s="2" t="n"/>
      <c r="E1" s="2" t="n"/>
      <c r="F1" s="2" t="n"/>
      <c r="G1" s="2" t="n"/>
      <c r="H1" s="2" t="n"/>
      <c r="I1" s="2" t="n"/>
      <c r="J1" s="2" t="n"/>
      <c r="K1" s="2" t="n"/>
      <c r="L1" s="2" t="n"/>
    </row>
    <row r="2" ht="20" customHeight="1">
      <c r="A2" s="3" t="inlineStr">
        <is>
          <t>対象：給与計算 約100案件／目標：2026年10月1日より弊社主体での完全運用開始（顧客の日常的な確認・対応を不要とする状態）</t>
        </is>
      </c>
      <c r="B2" s="4" t="n"/>
      <c r="C2" s="4" t="n"/>
      <c r="D2" s="4" t="n"/>
      <c r="E2" s="4" t="n"/>
      <c r="F2" s="4" t="n"/>
      <c r="G2" s="4" t="n"/>
      <c r="H2" s="4" t="n"/>
      <c r="I2" s="4" t="n"/>
      <c r="J2" s="4" t="n"/>
      <c r="K2" s="4" t="n"/>
      <c r="L2" s="4" t="n"/>
    </row>
    <row r="3" ht="18" customHeight="1">
      <c r="A3" s="5" t="inlineStr">
        <is>
          <t>※本シートの「当週引き継ぎ件数」「想定稼働時間」「想定人数」は現時点の計画値・試算値であり、確定実績ではありません。</t>
        </is>
      </c>
    </row>
    <row r="4" ht="18" customHeight="1">
      <c r="A4" s="6" t="inlineStr">
        <is>
          <t>計画（期間・内容）</t>
        </is>
      </c>
      <c r="B4" s="7" t="n"/>
      <c r="C4" s="7" t="n"/>
      <c r="D4" s="8" t="inlineStr">
        <is>
          <t>計画値（試算）　※確定実績ではありません</t>
        </is>
      </c>
      <c r="E4" s="9" t="n"/>
      <c r="F4" s="9" t="n"/>
      <c r="G4" s="9" t="n"/>
      <c r="H4" s="9" t="n"/>
      <c r="I4" s="9" t="n"/>
      <c r="J4" s="10" t="inlineStr">
        <is>
          <t>運用・進捗管理（手入力）</t>
        </is>
      </c>
      <c r="K4" s="11" t="n"/>
      <c r="L4" s="11" t="n"/>
    </row>
    <row r="5" ht="38" customHeight="1">
      <c r="A5" s="12" t="inlineStr">
        <is>
          <t>期間</t>
        </is>
      </c>
      <c r="B5" s="12" t="inlineStr">
        <is>
          <t>フェーズ</t>
        </is>
      </c>
      <c r="C5" s="12" t="inlineStr">
        <is>
          <t>主な対応内容</t>
        </is>
      </c>
      <c r="D5" s="12" t="inlineStr">
        <is>
          <t>当週引き継ぎ件数</t>
        </is>
      </c>
      <c r="E5" s="12" t="inlineStr">
        <is>
          <t>累計引き継ぎ件数</t>
        </is>
      </c>
      <c r="F5" s="12" t="inlineStr">
        <is>
          <t>進捗率</t>
        </is>
      </c>
      <c r="G5" s="12" t="inlineStr">
        <is>
          <t>想定稼働時間</t>
        </is>
      </c>
      <c r="H5" s="12" t="inlineStr">
        <is>
          <t>想定人数</t>
        </is>
      </c>
      <c r="I5" s="12" t="inlineStr">
        <is>
          <t>1人あたり想定稼働時間</t>
        </is>
      </c>
      <c r="J5" s="12" t="inlineStr">
        <is>
          <t>完了条件</t>
        </is>
      </c>
      <c r="K5" s="12" t="inlineStr">
        <is>
          <t>ステータス</t>
        </is>
      </c>
      <c r="L5" s="12" t="inlineStr">
        <is>
          <t>備考・課題</t>
        </is>
      </c>
    </row>
    <row r="6" ht="108" customHeight="1">
      <c r="A6" s="13" t="inlineStr">
        <is>
          <t>2026/8/24（月）～8/30（日）</t>
        </is>
      </c>
      <c r="B6" s="14" t="inlineStr">
        <is>
          <t>体制構築・業務棚卸し・初期引き継ぎ</t>
        </is>
      </c>
      <c r="C6" s="15" t="inlineStr">
        <is>
          <t>・担当者4名の体制確定
・100案件の一覧化
・案件ごとの難易度分類
・使用システム分類
・担当者割り振り
・業務フロー確認
・代表案件を使ったレクチャー
・チェックリスト、各種フォーマット共有
・顧客ごとの注意点整理</t>
        </is>
      </c>
      <c r="D6" s="16" t="n">
        <v>10</v>
      </c>
      <c r="E6" s="16" t="n">
        <v>10</v>
      </c>
      <c r="F6" s="17">
        <f>E6/$B$21</f>
        <v/>
      </c>
      <c r="G6" s="16" t="n">
        <v>60</v>
      </c>
      <c r="H6" s="16" t="n">
        <v>4</v>
      </c>
      <c r="I6" s="18">
        <f>IF(ISNUMBER(G6),G6/H6,"")</f>
        <v/>
      </c>
      <c r="J6" s="15" t="inlineStr">
        <is>
          <t>・100案件の棚卸し完了
・担当者割り振り完了
・主要業務フローを担当者が理解
・代表10案件の引き継ぎ完了</t>
        </is>
      </c>
      <c r="K6" s="19" t="inlineStr">
        <is>
          <t>未着手</t>
        </is>
      </c>
      <c r="L6" s="20" t="n"/>
    </row>
    <row r="7" ht="108" customHeight="1">
      <c r="A7" s="21" t="inlineStr">
        <is>
          <t>2026/8/31（月）～9/6（日）</t>
        </is>
      </c>
      <c r="B7" s="22" t="inlineStr">
        <is>
          <t>実案件の並走開始</t>
        </is>
      </c>
      <c r="C7" s="23" t="inlineStr">
        <is>
          <t>・実際の給与計算業務を担当者が実施
・勤怠取得
・チェックリスト更新
・給与計算
・顧客確認
・納品
・進捗管理更新
まで一連の流れを経験する</t>
        </is>
      </c>
      <c r="D7" s="24" t="n">
        <v>20</v>
      </c>
      <c r="E7" s="24" t="n">
        <v>30</v>
      </c>
      <c r="F7" s="17">
        <f>E7/$B$21</f>
        <v/>
      </c>
      <c r="G7" s="24" t="n">
        <v>90</v>
      </c>
      <c r="H7" s="24" t="n">
        <v>4</v>
      </c>
      <c r="I7" s="18">
        <f>IF(ISNUMBER(G7),G7/H7,"")</f>
        <v/>
      </c>
      <c r="J7" s="23" t="inlineStr">
        <is>
          <t>・30案件の引き継ぎ完了
・標準案件について一連の処理が可能
・不明点、例外処理を一覧化</t>
        </is>
      </c>
      <c r="K7" s="19" t="inlineStr">
        <is>
          <t>未着手</t>
        </is>
      </c>
      <c r="L7" s="20" t="n"/>
    </row>
    <row r="8" ht="108" customHeight="1">
      <c r="A8" s="13" t="inlineStr">
        <is>
          <t>2026/9/7（月）～9/13（日）</t>
        </is>
      </c>
      <c r="B8" s="14" t="inlineStr">
        <is>
          <t>引き継ぎ件数拡大</t>
        </is>
      </c>
      <c r="C8" s="15" t="inlineStr">
        <is>
          <t>・標準案件の引き継ぎを加速
・複数システム案件への対応
・KING OF TIME等の勤怠取得対応
・顧客固有ルールの整理
・担当者単独で処理できる案件を増加</t>
        </is>
      </c>
      <c r="D8" s="16" t="n">
        <v>25</v>
      </c>
      <c r="E8" s="16" t="n">
        <v>55</v>
      </c>
      <c r="F8" s="17">
        <f>E8/$B$21</f>
        <v/>
      </c>
      <c r="G8" s="16" t="n">
        <v>100</v>
      </c>
      <c r="H8" s="16" t="n">
        <v>4</v>
      </c>
      <c r="I8" s="18">
        <f>IF(ISNUMBER(G8),G8/H8,"")</f>
        <v/>
      </c>
      <c r="J8" s="15" t="inlineStr">
        <is>
          <t>・55案件の引き継ぎ完了
・標準案件は弊社主体で処理可能
・例外案件の対応方法が整理されている</t>
        </is>
      </c>
      <c r="K8" s="19" t="inlineStr">
        <is>
          <t>未着手</t>
        </is>
      </c>
      <c r="L8" s="20" t="n"/>
    </row>
    <row r="9" ht="108" customHeight="1">
      <c r="A9" s="21" t="inlineStr">
        <is>
          <t>2026/9/14（月）～9/20（日）</t>
        </is>
      </c>
      <c r="B9" s="22" t="inlineStr">
        <is>
          <t>本番想定での並走</t>
        </is>
      </c>
      <c r="C9" s="23" t="inlineStr">
        <is>
          <t>・顧客対応も含め弊社主体で運用
・給与計算から納品まで一連で実施
・クライアント側の確認工数を減らす
・ミス、差し戻し内容を記録
・バックアップ担当者を設定</t>
        </is>
      </c>
      <c r="D9" s="24" t="n">
        <v>25</v>
      </c>
      <c r="E9" s="24" t="n">
        <v>80</v>
      </c>
      <c r="F9" s="17">
        <f>E9/$B$21</f>
        <v/>
      </c>
      <c r="G9" s="24" t="n">
        <v>100</v>
      </c>
      <c r="H9" s="24" t="n">
        <v>4</v>
      </c>
      <c r="I9" s="18">
        <f>IF(ISNUMBER(G9),G9/H9,"")</f>
        <v/>
      </c>
      <c r="J9" s="23" t="inlineStr">
        <is>
          <t>・80案件の引き継ぎ完了
・大半の案件を弊社主体で運用
・主要な例外パターンへの対応方法確立</t>
        </is>
      </c>
      <c r="K9" s="19" t="inlineStr">
        <is>
          <t>未着手</t>
        </is>
      </c>
      <c r="L9" s="20" t="n"/>
    </row>
    <row r="10" ht="108" customHeight="1">
      <c r="A10" s="13" t="inlineStr">
        <is>
          <t>2026/9/21（月）～9/27（日）</t>
        </is>
      </c>
      <c r="B10" s="14" t="inlineStr">
        <is>
          <t>残案件引き継ぎ・全件移行</t>
        </is>
      </c>
      <c r="C10" s="15" t="inlineStr">
        <is>
          <t>・残り20案件を引き継ぎ
・難易度の高い案件を重点確認
・100案件すべての担当者確定
・バックアップ担当設定
・不足情報、権限、ID・PW等の確認
・顧客対応方法の最終確認</t>
        </is>
      </c>
      <c r="D10" s="16" t="n">
        <v>20</v>
      </c>
      <c r="E10" s="16" t="n">
        <v>100</v>
      </c>
      <c r="F10" s="17">
        <f>E10/$B$21</f>
        <v/>
      </c>
      <c r="G10" s="16" t="n">
        <v>80</v>
      </c>
      <c r="H10" s="16" t="n">
        <v>4</v>
      </c>
      <c r="I10" s="18">
        <f>IF(ISNUMBER(G10),G10/H10,"")</f>
        <v/>
      </c>
      <c r="J10" s="15" t="inlineStr">
        <is>
          <t>・100案件すべて引き継ぎ完了
・全案件の主担当、バックアップ担当決定
・10月運用対象に未割り当て案件がない</t>
        </is>
      </c>
      <c r="K10" s="19" t="inlineStr">
        <is>
          <t>未着手</t>
        </is>
      </c>
      <c r="L10" s="20" t="n"/>
    </row>
    <row r="11" ht="108" customHeight="1">
      <c r="A11" s="21" t="inlineStr">
        <is>
          <t>2026/9/28（月）～9/30（水）</t>
        </is>
      </c>
      <c r="B11" s="22" t="inlineStr">
        <is>
          <t>最終調整・リハーサル</t>
        </is>
      </c>
      <c r="C11" s="23" t="inlineStr">
        <is>
          <t>・新規引き継ぎは行わない
・未解決事項の解消
・差し戻し案件の修正
・権限不足確認
・チェックリスト不足確認
・運用フロー最終確認
・10月開始判定
・緊急時のエスカレーションルール確認</t>
        </is>
      </c>
      <c r="D11" s="24" t="n">
        <v>0</v>
      </c>
      <c r="E11" s="24" t="n">
        <v>100</v>
      </c>
      <c r="F11" s="17">
        <f>E11/$B$21</f>
        <v/>
      </c>
      <c r="G11" s="24" t="n">
        <v>50</v>
      </c>
      <c r="H11" s="24" t="n">
        <v>4</v>
      </c>
      <c r="I11" s="18">
        <f>IF(ISNUMBER(G11),G11/H11,"")</f>
        <v/>
      </c>
      <c r="J11" s="23" t="inlineStr">
        <is>
          <t>・全100案件が10月運用開始可能
・未解決の重大課題がない
・担当者、バックアップ、エスカレーション先が明確</t>
        </is>
      </c>
      <c r="K11" s="19" t="inlineStr">
        <is>
          <t>未着手</t>
        </is>
      </c>
      <c r="L11" s="20" t="n"/>
    </row>
    <row r="12" ht="108" customHeight="1">
      <c r="A12" s="13" t="inlineStr">
        <is>
          <t>2026/10/1（木）～</t>
        </is>
      </c>
      <c r="B12" s="14" t="inlineStr">
        <is>
          <t>完全運用開始</t>
        </is>
      </c>
      <c r="C12" s="15" t="inlineStr">
        <is>
          <t>・100案件を弊社側主体で運用
・顧客対応
・勤怠取得
・給与計算
・納品
・進捗更新
まで一連で実施</t>
        </is>
      </c>
      <c r="D12" s="16" t="n">
        <v>0</v>
      </c>
      <c r="E12" s="16" t="n">
        <v>100</v>
      </c>
      <c r="F12" s="17">
        <f>E12/$B$21</f>
        <v/>
      </c>
      <c r="G12" s="25" t="inlineStr">
        <is>
          <t>運用フェーズ</t>
        </is>
      </c>
      <c r="H12" s="16" t="n">
        <v>4</v>
      </c>
      <c r="I12" s="18">
        <f>IF(ISNUMBER(G12),G12/H12,"")</f>
        <v/>
      </c>
      <c r="J12" s="15" t="inlineStr">
        <is>
          <t>【目標】クライアント側が原則として給与計算業務に日常的に介入しなくても運用できる状態</t>
        </is>
      </c>
      <c r="K12" s="19" t="inlineStr">
        <is>
          <t>未着手</t>
        </is>
      </c>
      <c r="L12" s="20" t="n"/>
    </row>
    <row r="13" ht="30" customHeight="1">
      <c r="A13" s="26" t="inlineStr">
        <is>
          <t>合計 / 計画値</t>
        </is>
      </c>
      <c r="B13" s="27" t="n"/>
      <c r="C13" s="27" t="n"/>
      <c r="D13" s="27">
        <f>SUM(D6:D12)</f>
        <v/>
      </c>
      <c r="E13" s="27">
        <f>MAX(E6:E12)</f>
        <v/>
      </c>
      <c r="F13" s="28">
        <f>E13/$B$21</f>
        <v/>
      </c>
      <c r="G13" s="27">
        <f>SUM(G6:G12)</f>
        <v/>
      </c>
      <c r="H13" s="27" t="n">
        <v>4</v>
      </c>
      <c r="I13" s="29">
        <f>G13/H13</f>
        <v/>
      </c>
      <c r="J13" s="26" t="inlineStr">
        <is>
          <t>※総工数480時間／1名あたり約120時間（週20～25時間想定）はいずれも計画値です。</t>
        </is>
      </c>
      <c r="K13" s="27" t="n"/>
      <c r="L13" s="27" t="n"/>
    </row>
    <row r="15" ht="46" customHeight="1">
      <c r="A15" s="30" t="inlineStr">
        <is>
          <t>【「引き継ぎ完了」の定義】　単に業務説明を受けた状態は「完了」ではありません。以下すべてを確認できた案件のみを「引き継ぎ完了」とします。
①業務内容理解　②勤怠情報取得可能　③給与計算可能　④チェックリスト更新可能　⑤顧客対応方法理解　⑥納品方法理解　⑦進捗管理更新可能　⑧担当者確定</t>
        </is>
      </c>
      <c r="B15" s="11" t="n"/>
      <c r="C15" s="11" t="n"/>
      <c r="D15" s="11" t="n"/>
      <c r="E15" s="11" t="n"/>
      <c r="F15" s="11" t="n"/>
      <c r="G15" s="11" t="n"/>
      <c r="H15" s="11" t="n"/>
      <c r="I15" s="11" t="n"/>
      <c r="J15" s="11" t="n"/>
      <c r="K15" s="11" t="n"/>
      <c r="L15" s="11" t="n"/>
    </row>
    <row r="16" ht="26" customHeight="1">
      <c r="A16" s="31" t="inlineStr">
        <is>
          <t>【判定ルール①】2026年9月27日時点で100件の引き継ぎが完了していない場合、10月1日の完全移行に対して「リスクあり」と判定します。</t>
        </is>
      </c>
      <c r="B16" s="32" t="n"/>
      <c r="C16" s="32" t="n"/>
      <c r="D16" s="32" t="n"/>
      <c r="E16" s="32" t="n"/>
      <c r="F16" s="32" t="n"/>
      <c r="G16" s="32" t="n"/>
      <c r="H16" s="32" t="n"/>
      <c r="I16" s="32" t="n"/>
      <c r="J16" s="32" t="n"/>
      <c r="K16" s="32" t="n"/>
      <c r="L16" s="32" t="n"/>
    </row>
    <row r="17" ht="26" customHeight="1">
      <c r="A17" s="31" t="inlineStr">
        <is>
          <t>【判定ルール②】2026年8月30日時点で必要な3～4名程度の運用体制が確保できていない場合、10月完全移行について「要再計画」と表示します。</t>
        </is>
      </c>
      <c r="B17" s="32" t="n"/>
      <c r="C17" s="32" t="n"/>
      <c r="D17" s="32" t="n"/>
      <c r="E17" s="32" t="n"/>
      <c r="F17" s="32" t="n"/>
      <c r="G17" s="32" t="n"/>
      <c r="H17" s="32" t="n"/>
      <c r="I17" s="32" t="n"/>
      <c r="J17" s="32" t="n"/>
      <c r="K17" s="32" t="n"/>
      <c r="L17" s="32" t="n"/>
    </row>
    <row r="18" ht="26" customHeight="1">
      <c r="A18" s="33" t="inlineStr">
        <is>
          <t>【計画の考え方】9月末に引き継ぎを開始するのではなく、9月第4週（～9/27）までに100案件の引き継ぎを完了し、9月28日～30日は修正・確認・リハーサルのバッファ期間として使用します。</t>
        </is>
      </c>
      <c r="B18" s="34" t="n"/>
      <c r="C18" s="34" t="n"/>
      <c r="D18" s="34" t="n"/>
      <c r="E18" s="34" t="n"/>
      <c r="F18" s="34" t="n"/>
      <c r="G18" s="34" t="n"/>
      <c r="H18" s="34" t="n"/>
      <c r="I18" s="34" t="n"/>
      <c r="J18" s="34" t="n"/>
      <c r="K18" s="34" t="n"/>
      <c r="L18" s="34" t="n"/>
    </row>
    <row r="19" ht="26" customHeight="1">
      <c r="A19" s="35" t="inlineStr">
        <is>
          <t>【凡例】　塗りなし＝計画（固定）　／　薄い黄色＝手入力セル　／　薄いグレー＝自動計算セル（数式）　／　進捗率＝累計引き継ぎ件数÷総案件数　／　1人あたり想定稼働時間＝想定稼働時間÷想定人数</t>
        </is>
      </c>
      <c r="B19" s="36" t="n"/>
      <c r="C19" s="36" t="n"/>
      <c r="D19" s="36" t="n"/>
      <c r="E19" s="36" t="n"/>
      <c r="F19" s="36" t="n"/>
      <c r="G19" s="36" t="n"/>
      <c r="H19" s="36" t="n"/>
      <c r="I19" s="36" t="n"/>
      <c r="J19" s="36" t="n"/>
      <c r="K19" s="36" t="n"/>
      <c r="L19" s="36" t="n"/>
    </row>
    <row r="21">
      <c r="A21" s="37" t="inlineStr">
        <is>
          <t>総案件数（分母・計画値）</t>
        </is>
      </c>
      <c r="B21" s="38" t="n">
        <v>100</v>
      </c>
      <c r="C21" s="39" t="inlineStr">
        <is>
          <t>←進捗率の分母。案件数が変わる場合はこのセルのみ変更してください。</t>
        </is>
      </c>
    </row>
  </sheetData>
  <autoFilter ref="A5:L12"/>
  <mergeCells count="11">
    <mergeCell ref="A2:L2"/>
    <mergeCell ref="A4:C4"/>
    <mergeCell ref="A15:L15"/>
    <mergeCell ref="A16:L16"/>
    <mergeCell ref="A19:L19"/>
    <mergeCell ref="D4:I4"/>
    <mergeCell ref="A1:L1"/>
    <mergeCell ref="J4:L4"/>
    <mergeCell ref="A17:L17"/>
    <mergeCell ref="A18:L18"/>
    <mergeCell ref="A3:L3"/>
  </mergeCells>
  <conditionalFormatting sqref="K6:K12">
    <cfRule type="cellIs" priority="1" operator="equal" dxfId="0">
      <formula>"完了"</formula>
    </cfRule>
    <cfRule type="cellIs" priority="2" operator="equal" dxfId="1">
      <formula>"進行中"</formula>
    </cfRule>
    <cfRule type="cellIs" priority="3" operator="equal" dxfId="2">
      <formula>"遅延"</formula>
    </cfRule>
    <cfRule type="cellIs" priority="4" operator="equal" dxfId="3">
      <formula>"要確認"</formula>
    </cfRule>
    <cfRule type="cellIs" priority="5" operator="equal" dxfId="4">
      <formula>"未着手"</formula>
    </cfRule>
  </conditionalFormatting>
  <conditionalFormatting sqref="A6:L12">
    <cfRule type="expression" priority="6" dxfId="5">
      <formula>$K6="遅延"</formula>
    </cfRule>
    <cfRule type="expression" priority="7" dxfId="6">
      <formula>$K6="要確認"</formula>
    </cfRule>
  </conditionalFormatting>
  <dataValidations count="1">
    <dataValidation sqref="K6:K12" showDropDown="0" showInputMessage="0" showErrorMessage="0" allowBlank="1" error="リストから選択してください（未着手／進行中／完了／遅延／要確認）" promptTitle="ステータス" prompt="未着手／進行中／完了／遅延／要確認 から選択" type="list">
      <formula1>"未着手,進行中,完了,遅延,要確認"</formula1>
    </dataValidation>
  </dataValidation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Z33"/>
  <sheetViews>
    <sheetView showGridLines="0" zoomScale="85" workbookViewId="0">
      <pane xSplit="7" ySplit="7" topLeftCell="H8"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4" customWidth="1" min="3" max="3"/>
    <col width="11" customWidth="1" min="4" max="4"/>
    <col width="11" customWidth="1" min="5" max="5"/>
    <col width="7" customWidth="1" min="6" max="6"/>
    <col width="9"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3"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3" customWidth="1" min="38" max="38"/>
    <col width="3" customWidth="1" min="39" max="39"/>
    <col width="3" customWidth="1" min="40" max="40"/>
    <col width="3" customWidth="1" min="41" max="41"/>
    <col width="3" customWidth="1" min="42" max="42"/>
    <col width="3" customWidth="1" min="43" max="43"/>
    <col width="3" customWidth="1" min="44" max="44"/>
    <col width="3" customWidth="1" min="45" max="45"/>
    <col width="3" customWidth="1" min="46" max="46"/>
    <col width="3" customWidth="1" min="47" max="47"/>
    <col width="3" customWidth="1" min="48" max="48"/>
    <col width="3" customWidth="1" min="49" max="49"/>
    <col width="3" customWidth="1" min="50" max="50"/>
    <col width="3" customWidth="1" min="51" max="51"/>
    <col width="3" customWidth="1" min="52" max="52"/>
  </cols>
  <sheetData>
    <row r="1" ht="34" customHeight="1">
      <c r="A1" s="1" t="inlineStr">
        <is>
          <t>給与計算100案件　10月完全移行　ガントチャート（2026/8/24 ～ 10/7）</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row>
    <row r="2" ht="20" customHeight="1">
      <c r="A2" s="3" t="inlineStr">
        <is>
          <t>フェーズ色分け：準備＝グレー／引き継ぎ＝青／実運用・並走＝水色／確認・QA＝オレンジ／完了・本番＝緑　　　10月1日に縦線＝完全運用開始ライン</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c r="AX2" s="4" t="n"/>
      <c r="AY2" s="4" t="n"/>
      <c r="AZ2" s="4" t="n"/>
    </row>
    <row r="3" ht="18" customHeight="1">
      <c r="A3" s="5" t="inlineStr">
        <is>
          <t>※開始日・終了日・日数はいずれも計画値（試算）です。実績は「進捗率」列に手入力して管理してください。</t>
        </is>
      </c>
    </row>
    <row r="4" ht="20" customHeight="1">
      <c r="A4" s="40" t="inlineStr">
        <is>
          <t>【凡例】フェーズ区分の色</t>
        </is>
      </c>
      <c r="H4" s="41" t="n"/>
      <c r="I4" s="42" t="inlineStr">
        <is>
          <t>準備</t>
        </is>
      </c>
      <c r="O4" s="43" t="n"/>
      <c r="P4" s="42" t="inlineStr">
        <is>
          <t>引き継ぎ</t>
        </is>
      </c>
      <c r="V4" s="44" t="n"/>
      <c r="W4" s="42" t="inlineStr">
        <is>
          <t>実運用・並走</t>
        </is>
      </c>
      <c r="AC4" s="45" t="n"/>
      <c r="AD4" s="42" t="inlineStr">
        <is>
          <t>確認・QA</t>
        </is>
      </c>
      <c r="AJ4" s="46" t="n"/>
      <c r="AK4" s="42" t="inlineStr">
        <is>
          <t>完了・本番</t>
        </is>
      </c>
      <c r="AT4" s="47" t="inlineStr">
        <is>
          <t>▼ 10/1 完全運用開始</t>
        </is>
      </c>
    </row>
    <row r="5" ht="18" customHeight="1">
      <c r="A5" s="48" t="inlineStr">
        <is>
          <t>タスク基本情報（計画値）</t>
        </is>
      </c>
      <c r="B5" s="49" t="n"/>
      <c r="C5" s="49" t="n"/>
      <c r="D5" s="49" t="n"/>
      <c r="E5" s="49" t="n"/>
      <c r="F5" s="49" t="n"/>
      <c r="G5" s="49" t="n"/>
      <c r="H5" s="48" t="inlineStr">
        <is>
          <t>第1週  8/24～8/30</t>
        </is>
      </c>
      <c r="I5" s="49" t="n"/>
      <c r="J5" s="49" t="n"/>
      <c r="K5" s="49" t="n"/>
      <c r="L5" s="49" t="n"/>
      <c r="M5" s="49" t="n"/>
      <c r="N5" s="49" t="n"/>
      <c r="O5" s="48" t="inlineStr">
        <is>
          <t>第2週  8/31～9/6</t>
        </is>
      </c>
      <c r="P5" s="49" t="n"/>
      <c r="Q5" s="49" t="n"/>
      <c r="R5" s="49" t="n"/>
      <c r="S5" s="49" t="n"/>
      <c r="T5" s="49" t="n"/>
      <c r="U5" s="49" t="n"/>
      <c r="V5" s="48" t="inlineStr">
        <is>
          <t>第3週  9/7～9/13</t>
        </is>
      </c>
      <c r="W5" s="49" t="n"/>
      <c r="X5" s="49" t="n"/>
      <c r="Y5" s="49" t="n"/>
      <c r="Z5" s="49" t="n"/>
      <c r="AA5" s="49" t="n"/>
      <c r="AB5" s="49" t="n"/>
      <c r="AC5" s="48" t="inlineStr">
        <is>
          <t>第4週  9/14～9/20</t>
        </is>
      </c>
      <c r="AD5" s="49" t="n"/>
      <c r="AE5" s="49" t="n"/>
      <c r="AF5" s="49" t="n"/>
      <c r="AG5" s="49" t="n"/>
      <c r="AH5" s="49" t="n"/>
      <c r="AI5" s="49" t="n"/>
      <c r="AJ5" s="48" t="inlineStr">
        <is>
          <t>第5週  9/21～9/27</t>
        </is>
      </c>
      <c r="AK5" s="49" t="n"/>
      <c r="AL5" s="49" t="n"/>
      <c r="AM5" s="49" t="n"/>
      <c r="AN5" s="49" t="n"/>
      <c r="AO5" s="49" t="n"/>
      <c r="AP5" s="49" t="n"/>
      <c r="AQ5" s="48" t="inlineStr">
        <is>
          <t>第6週  9/28～10/4</t>
        </is>
      </c>
      <c r="AR5" s="49" t="n"/>
      <c r="AS5" s="49" t="n"/>
      <c r="AT5" s="49" t="n"/>
      <c r="AU5" s="49" t="n"/>
      <c r="AV5" s="49" t="n"/>
      <c r="AW5" s="49" t="n"/>
      <c r="AX5" s="48" t="inlineStr">
        <is>
          <t>第7週  10/5～10/7</t>
        </is>
      </c>
      <c r="AY5" s="49" t="n"/>
      <c r="AZ5" s="49" t="n"/>
    </row>
    <row r="6" ht="26" customHeight="1">
      <c r="A6" s="50" t="inlineStr">
        <is>
          <t>No.</t>
        </is>
      </c>
      <c r="B6" s="50" t="inlineStr">
        <is>
          <t>タスク</t>
        </is>
      </c>
      <c r="C6" s="50" t="inlineStr">
        <is>
          <t>フェーズ区分</t>
        </is>
      </c>
      <c r="D6" s="50" t="inlineStr">
        <is>
          <t>開始日
（計画）</t>
        </is>
      </c>
      <c r="E6" s="50" t="inlineStr">
        <is>
          <t>終了日
（計画）</t>
        </is>
      </c>
      <c r="F6" s="50" t="inlineStr">
        <is>
          <t>日数</t>
        </is>
      </c>
      <c r="G6" s="50" t="inlineStr">
        <is>
          <t>進捗率
【入力】</t>
        </is>
      </c>
      <c r="H6" s="51" t="n">
        <v>46258</v>
      </c>
      <c r="I6" s="51" t="n">
        <v>46259</v>
      </c>
      <c r="J6" s="51" t="n">
        <v>46260</v>
      </c>
      <c r="K6" s="51" t="n">
        <v>46261</v>
      </c>
      <c r="L6" s="51" t="n">
        <v>46262</v>
      </c>
      <c r="M6" s="51" t="n">
        <v>46263</v>
      </c>
      <c r="N6" s="51" t="n">
        <v>46264</v>
      </c>
      <c r="O6" s="51" t="n">
        <v>46265</v>
      </c>
      <c r="P6" s="51" t="n">
        <v>46266</v>
      </c>
      <c r="Q6" s="51" t="n">
        <v>46267</v>
      </c>
      <c r="R6" s="51" t="n">
        <v>46268</v>
      </c>
      <c r="S6" s="51" t="n">
        <v>46269</v>
      </c>
      <c r="T6" s="51" t="n">
        <v>46270</v>
      </c>
      <c r="U6" s="51" t="n">
        <v>46271</v>
      </c>
      <c r="V6" s="51" t="n">
        <v>46272</v>
      </c>
      <c r="W6" s="51" t="n">
        <v>46273</v>
      </c>
      <c r="X6" s="51" t="n">
        <v>46274</v>
      </c>
      <c r="Y6" s="51" t="n">
        <v>46275</v>
      </c>
      <c r="Z6" s="51" t="n">
        <v>46276</v>
      </c>
      <c r="AA6" s="51" t="n">
        <v>46277</v>
      </c>
      <c r="AB6" s="51" t="n">
        <v>46278</v>
      </c>
      <c r="AC6" s="51" t="n">
        <v>46279</v>
      </c>
      <c r="AD6" s="51" t="n">
        <v>46280</v>
      </c>
      <c r="AE6" s="51" t="n">
        <v>46281</v>
      </c>
      <c r="AF6" s="51" t="n">
        <v>46282</v>
      </c>
      <c r="AG6" s="51" t="n">
        <v>46283</v>
      </c>
      <c r="AH6" s="51" t="n">
        <v>46284</v>
      </c>
      <c r="AI6" s="51" t="n">
        <v>46285</v>
      </c>
      <c r="AJ6" s="51" t="n">
        <v>46286</v>
      </c>
      <c r="AK6" s="51" t="n">
        <v>46287</v>
      </c>
      <c r="AL6" s="51" t="n">
        <v>46288</v>
      </c>
      <c r="AM6" s="51" t="n">
        <v>46289</v>
      </c>
      <c r="AN6" s="51" t="n">
        <v>46290</v>
      </c>
      <c r="AO6" s="51" t="n">
        <v>46291</v>
      </c>
      <c r="AP6" s="51" t="n">
        <v>46292</v>
      </c>
      <c r="AQ6" s="51" t="n">
        <v>46293</v>
      </c>
      <c r="AR6" s="51" t="n">
        <v>46294</v>
      </c>
      <c r="AS6" s="51" t="n">
        <v>46295</v>
      </c>
      <c r="AT6" s="52" t="n">
        <v>46296</v>
      </c>
      <c r="AU6" s="51" t="n">
        <v>46297</v>
      </c>
      <c r="AV6" s="51" t="n">
        <v>46298</v>
      </c>
      <c r="AW6" s="51" t="n">
        <v>46299</v>
      </c>
      <c r="AX6" s="51" t="n">
        <v>46300</v>
      </c>
      <c r="AY6" s="51" t="n">
        <v>46301</v>
      </c>
      <c r="AZ6" s="51" t="n">
        <v>46302</v>
      </c>
    </row>
    <row r="7" ht="16" customHeight="1">
      <c r="A7" s="53" t="n"/>
      <c r="B7" s="53" t="n"/>
      <c r="C7" s="53" t="n"/>
      <c r="D7" s="53" t="n"/>
      <c r="E7" s="53" t="n"/>
      <c r="F7" s="53" t="n"/>
      <c r="G7" s="53" t="n"/>
      <c r="H7" s="54" t="inlineStr">
        <is>
          <t>月</t>
        </is>
      </c>
      <c r="I7" s="54" t="inlineStr">
        <is>
          <t>火</t>
        </is>
      </c>
      <c r="J7" s="54" t="inlineStr">
        <is>
          <t>水</t>
        </is>
      </c>
      <c r="K7" s="54" t="inlineStr">
        <is>
          <t>木</t>
        </is>
      </c>
      <c r="L7" s="54" t="inlineStr">
        <is>
          <t>金</t>
        </is>
      </c>
      <c r="M7" s="55" t="inlineStr">
        <is>
          <t>土</t>
        </is>
      </c>
      <c r="N7" s="55" t="inlineStr">
        <is>
          <t>日</t>
        </is>
      </c>
      <c r="O7" s="54" t="inlineStr">
        <is>
          <t>月</t>
        </is>
      </c>
      <c r="P7" s="54" t="inlineStr">
        <is>
          <t>火</t>
        </is>
      </c>
      <c r="Q7" s="54" t="inlineStr">
        <is>
          <t>水</t>
        </is>
      </c>
      <c r="R7" s="54" t="inlineStr">
        <is>
          <t>木</t>
        </is>
      </c>
      <c r="S7" s="54" t="inlineStr">
        <is>
          <t>金</t>
        </is>
      </c>
      <c r="T7" s="55" t="inlineStr">
        <is>
          <t>土</t>
        </is>
      </c>
      <c r="U7" s="55" t="inlineStr">
        <is>
          <t>日</t>
        </is>
      </c>
      <c r="V7" s="54" t="inlineStr">
        <is>
          <t>月</t>
        </is>
      </c>
      <c r="W7" s="54" t="inlineStr">
        <is>
          <t>火</t>
        </is>
      </c>
      <c r="X7" s="54" t="inlineStr">
        <is>
          <t>水</t>
        </is>
      </c>
      <c r="Y7" s="54" t="inlineStr">
        <is>
          <t>木</t>
        </is>
      </c>
      <c r="Z7" s="54" t="inlineStr">
        <is>
          <t>金</t>
        </is>
      </c>
      <c r="AA7" s="55" t="inlineStr">
        <is>
          <t>土</t>
        </is>
      </c>
      <c r="AB7" s="55" t="inlineStr">
        <is>
          <t>日</t>
        </is>
      </c>
      <c r="AC7" s="54" t="inlineStr">
        <is>
          <t>月</t>
        </is>
      </c>
      <c r="AD7" s="54" t="inlineStr">
        <is>
          <t>火</t>
        </is>
      </c>
      <c r="AE7" s="54" t="inlineStr">
        <is>
          <t>水</t>
        </is>
      </c>
      <c r="AF7" s="54" t="inlineStr">
        <is>
          <t>木</t>
        </is>
      </c>
      <c r="AG7" s="54" t="inlineStr">
        <is>
          <t>金</t>
        </is>
      </c>
      <c r="AH7" s="55" t="inlineStr">
        <is>
          <t>土</t>
        </is>
      </c>
      <c r="AI7" s="55" t="inlineStr">
        <is>
          <t>日</t>
        </is>
      </c>
      <c r="AJ7" s="54" t="inlineStr">
        <is>
          <t>月</t>
        </is>
      </c>
      <c r="AK7" s="54" t="inlineStr">
        <is>
          <t>火</t>
        </is>
      </c>
      <c r="AL7" s="54" t="inlineStr">
        <is>
          <t>水</t>
        </is>
      </c>
      <c r="AM7" s="54" t="inlineStr">
        <is>
          <t>木</t>
        </is>
      </c>
      <c r="AN7" s="54" t="inlineStr">
        <is>
          <t>金</t>
        </is>
      </c>
      <c r="AO7" s="55" t="inlineStr">
        <is>
          <t>土</t>
        </is>
      </c>
      <c r="AP7" s="55" t="inlineStr">
        <is>
          <t>日</t>
        </is>
      </c>
      <c r="AQ7" s="54" t="inlineStr">
        <is>
          <t>月</t>
        </is>
      </c>
      <c r="AR7" s="54" t="inlineStr">
        <is>
          <t>火</t>
        </is>
      </c>
      <c r="AS7" s="54" t="inlineStr">
        <is>
          <t>水</t>
        </is>
      </c>
      <c r="AT7" s="56" t="inlineStr">
        <is>
          <t>木</t>
        </is>
      </c>
      <c r="AU7" s="54" t="inlineStr">
        <is>
          <t>金</t>
        </is>
      </c>
      <c r="AV7" s="55" t="inlineStr">
        <is>
          <t>土</t>
        </is>
      </c>
      <c r="AW7" s="55" t="inlineStr">
        <is>
          <t>日</t>
        </is>
      </c>
      <c r="AX7" s="54" t="inlineStr">
        <is>
          <t>月</t>
        </is>
      </c>
      <c r="AY7" s="54" t="inlineStr">
        <is>
          <t>火</t>
        </is>
      </c>
      <c r="AZ7" s="54" t="inlineStr">
        <is>
          <t>水</t>
        </is>
      </c>
    </row>
    <row r="8" ht="20" customHeight="1">
      <c r="A8" s="57" t="n">
        <v>1</v>
      </c>
      <c r="B8" s="58" t="inlineStr">
        <is>
          <t>担当者アサイン（4名体制確定）</t>
        </is>
      </c>
      <c r="C8" s="59" t="inlineStr">
        <is>
          <t>準備</t>
        </is>
      </c>
      <c r="D8" s="60" t="n">
        <v>46258</v>
      </c>
      <c r="E8" s="60" t="n">
        <v>46264</v>
      </c>
      <c r="F8" s="61">
        <f>E8-D8+1</f>
        <v/>
      </c>
      <c r="G8" s="62" t="n">
        <v>0</v>
      </c>
      <c r="H8" s="63" t="n"/>
      <c r="I8" s="63" t="n"/>
      <c r="J8" s="63" t="n"/>
      <c r="K8" s="63" t="n"/>
      <c r="L8" s="63" t="n"/>
      <c r="M8" s="63" t="n"/>
      <c r="N8" s="63" t="n"/>
      <c r="O8" s="64" t="n"/>
      <c r="P8" s="64" t="n"/>
      <c r="Q8" s="64" t="n"/>
      <c r="R8" s="64" t="n"/>
      <c r="S8" s="64" t="n"/>
      <c r="T8" s="65" t="n"/>
      <c r="U8" s="65" t="n"/>
      <c r="V8" s="64" t="n"/>
      <c r="W8" s="64" t="n"/>
      <c r="X8" s="64" t="n"/>
      <c r="Y8" s="64" t="n"/>
      <c r="Z8" s="64" t="n"/>
      <c r="AA8" s="65" t="n"/>
      <c r="AB8" s="65" t="n"/>
      <c r="AC8" s="64" t="n"/>
      <c r="AD8" s="64" t="n"/>
      <c r="AE8" s="64" t="n"/>
      <c r="AF8" s="64" t="n"/>
      <c r="AG8" s="64" t="n"/>
      <c r="AH8" s="65" t="n"/>
      <c r="AI8" s="65" t="n"/>
      <c r="AJ8" s="64" t="n"/>
      <c r="AK8" s="64" t="n"/>
      <c r="AL8" s="64" t="n"/>
      <c r="AM8" s="64" t="n"/>
      <c r="AN8" s="64" t="n"/>
      <c r="AO8" s="65" t="n"/>
      <c r="AP8" s="65" t="n"/>
      <c r="AQ8" s="64" t="n"/>
      <c r="AR8" s="64" t="n"/>
      <c r="AS8" s="64" t="n"/>
      <c r="AT8" s="66" t="n"/>
      <c r="AU8" s="64" t="n"/>
      <c r="AV8" s="65" t="n"/>
      <c r="AW8" s="65" t="n"/>
      <c r="AX8" s="64" t="n"/>
      <c r="AY8" s="64" t="n"/>
      <c r="AZ8" s="64" t="n"/>
    </row>
    <row r="9" ht="20" customHeight="1">
      <c r="A9" s="57" t="n">
        <v>2</v>
      </c>
      <c r="B9" s="58" t="inlineStr">
        <is>
          <t>100案件棚卸し</t>
        </is>
      </c>
      <c r="C9" s="59" t="inlineStr">
        <is>
          <t>準備</t>
        </is>
      </c>
      <c r="D9" s="60" t="n">
        <v>46258</v>
      </c>
      <c r="E9" s="60" t="n">
        <v>46264</v>
      </c>
      <c r="F9" s="61">
        <f>E9-D9+1</f>
        <v/>
      </c>
      <c r="G9" s="62" t="n">
        <v>0</v>
      </c>
      <c r="H9" s="63" t="n"/>
      <c r="I9" s="63" t="n"/>
      <c r="J9" s="63" t="n"/>
      <c r="K9" s="63" t="n"/>
      <c r="L9" s="63" t="n"/>
      <c r="M9" s="63" t="n"/>
      <c r="N9" s="63" t="n"/>
      <c r="O9" s="64" t="n"/>
      <c r="P9" s="64" t="n"/>
      <c r="Q9" s="64" t="n"/>
      <c r="R9" s="64" t="n"/>
      <c r="S9" s="64" t="n"/>
      <c r="T9" s="65" t="n"/>
      <c r="U9" s="65" t="n"/>
      <c r="V9" s="64" t="n"/>
      <c r="W9" s="64" t="n"/>
      <c r="X9" s="64" t="n"/>
      <c r="Y9" s="64" t="n"/>
      <c r="Z9" s="64" t="n"/>
      <c r="AA9" s="65" t="n"/>
      <c r="AB9" s="65" t="n"/>
      <c r="AC9" s="64" t="n"/>
      <c r="AD9" s="64" t="n"/>
      <c r="AE9" s="64" t="n"/>
      <c r="AF9" s="64" t="n"/>
      <c r="AG9" s="64" t="n"/>
      <c r="AH9" s="65" t="n"/>
      <c r="AI9" s="65" t="n"/>
      <c r="AJ9" s="64" t="n"/>
      <c r="AK9" s="64" t="n"/>
      <c r="AL9" s="64" t="n"/>
      <c r="AM9" s="64" t="n"/>
      <c r="AN9" s="64" t="n"/>
      <c r="AO9" s="65" t="n"/>
      <c r="AP9" s="65" t="n"/>
      <c r="AQ9" s="64" t="n"/>
      <c r="AR9" s="64" t="n"/>
      <c r="AS9" s="64" t="n"/>
      <c r="AT9" s="66" t="n"/>
      <c r="AU9" s="64" t="n"/>
      <c r="AV9" s="65" t="n"/>
      <c r="AW9" s="65" t="n"/>
      <c r="AX9" s="64" t="n"/>
      <c r="AY9" s="64" t="n"/>
      <c r="AZ9" s="64" t="n"/>
    </row>
    <row r="10" ht="20" customHeight="1">
      <c r="A10" s="57" t="n">
        <v>3</v>
      </c>
      <c r="B10" s="58" t="inlineStr">
        <is>
          <t>案件難易度分類（A/B/C）</t>
        </is>
      </c>
      <c r="C10" s="59" t="inlineStr">
        <is>
          <t>準備</t>
        </is>
      </c>
      <c r="D10" s="60" t="n">
        <v>46258</v>
      </c>
      <c r="E10" s="60" t="n">
        <v>46264</v>
      </c>
      <c r="F10" s="61">
        <f>E10-D10+1</f>
        <v/>
      </c>
      <c r="G10" s="62" t="n">
        <v>0</v>
      </c>
      <c r="H10" s="63" t="n"/>
      <c r="I10" s="63" t="n"/>
      <c r="J10" s="63" t="n"/>
      <c r="K10" s="63" t="n"/>
      <c r="L10" s="63" t="n"/>
      <c r="M10" s="63" t="n"/>
      <c r="N10" s="63" t="n"/>
      <c r="O10" s="64" t="n"/>
      <c r="P10" s="64" t="n"/>
      <c r="Q10" s="64" t="n"/>
      <c r="R10" s="64" t="n"/>
      <c r="S10" s="64" t="n"/>
      <c r="T10" s="65" t="n"/>
      <c r="U10" s="65" t="n"/>
      <c r="V10" s="64" t="n"/>
      <c r="W10" s="64" t="n"/>
      <c r="X10" s="64" t="n"/>
      <c r="Y10" s="64" t="n"/>
      <c r="Z10" s="64" t="n"/>
      <c r="AA10" s="65" t="n"/>
      <c r="AB10" s="65" t="n"/>
      <c r="AC10" s="64" t="n"/>
      <c r="AD10" s="64" t="n"/>
      <c r="AE10" s="64" t="n"/>
      <c r="AF10" s="64" t="n"/>
      <c r="AG10" s="64" t="n"/>
      <c r="AH10" s="65" t="n"/>
      <c r="AI10" s="65" t="n"/>
      <c r="AJ10" s="64" t="n"/>
      <c r="AK10" s="64" t="n"/>
      <c r="AL10" s="64" t="n"/>
      <c r="AM10" s="64" t="n"/>
      <c r="AN10" s="64" t="n"/>
      <c r="AO10" s="65" t="n"/>
      <c r="AP10" s="65" t="n"/>
      <c r="AQ10" s="64" t="n"/>
      <c r="AR10" s="64" t="n"/>
      <c r="AS10" s="64" t="n"/>
      <c r="AT10" s="66" t="n"/>
      <c r="AU10" s="64" t="n"/>
      <c r="AV10" s="65" t="n"/>
      <c r="AW10" s="65" t="n"/>
      <c r="AX10" s="64" t="n"/>
      <c r="AY10" s="64" t="n"/>
      <c r="AZ10" s="64" t="n"/>
    </row>
    <row r="11" ht="20" customHeight="1">
      <c r="A11" s="57" t="n">
        <v>4</v>
      </c>
      <c r="B11" s="58" t="inlineStr">
        <is>
          <t>担当割り振り</t>
        </is>
      </c>
      <c r="C11" s="59" t="inlineStr">
        <is>
          <t>準備</t>
        </is>
      </c>
      <c r="D11" s="60" t="n">
        <v>46258</v>
      </c>
      <c r="E11" s="60" t="n">
        <v>46264</v>
      </c>
      <c r="F11" s="61">
        <f>E11-D11+1</f>
        <v/>
      </c>
      <c r="G11" s="62" t="n">
        <v>0</v>
      </c>
      <c r="H11" s="63" t="n"/>
      <c r="I11" s="63" t="n"/>
      <c r="J11" s="63" t="n"/>
      <c r="K11" s="63" t="n"/>
      <c r="L11" s="63" t="n"/>
      <c r="M11" s="63" t="n"/>
      <c r="N11" s="63" t="n"/>
      <c r="O11" s="64" t="n"/>
      <c r="P11" s="64" t="n"/>
      <c r="Q11" s="64" t="n"/>
      <c r="R11" s="64" t="n"/>
      <c r="S11" s="64" t="n"/>
      <c r="T11" s="65" t="n"/>
      <c r="U11" s="65" t="n"/>
      <c r="V11" s="64" t="n"/>
      <c r="W11" s="64" t="n"/>
      <c r="X11" s="64" t="n"/>
      <c r="Y11" s="64" t="n"/>
      <c r="Z11" s="64" t="n"/>
      <c r="AA11" s="65" t="n"/>
      <c r="AB11" s="65" t="n"/>
      <c r="AC11" s="64" t="n"/>
      <c r="AD11" s="64" t="n"/>
      <c r="AE11" s="64" t="n"/>
      <c r="AF11" s="64" t="n"/>
      <c r="AG11" s="64" t="n"/>
      <c r="AH11" s="65" t="n"/>
      <c r="AI11" s="65" t="n"/>
      <c r="AJ11" s="64" t="n"/>
      <c r="AK11" s="64" t="n"/>
      <c r="AL11" s="64" t="n"/>
      <c r="AM11" s="64" t="n"/>
      <c r="AN11" s="64" t="n"/>
      <c r="AO11" s="65" t="n"/>
      <c r="AP11" s="65" t="n"/>
      <c r="AQ11" s="64" t="n"/>
      <c r="AR11" s="64" t="n"/>
      <c r="AS11" s="64" t="n"/>
      <c r="AT11" s="66" t="n"/>
      <c r="AU11" s="64" t="n"/>
      <c r="AV11" s="65" t="n"/>
      <c r="AW11" s="65" t="n"/>
      <c r="AX11" s="64" t="n"/>
      <c r="AY11" s="64" t="n"/>
      <c r="AZ11" s="64" t="n"/>
    </row>
    <row r="12" ht="20" customHeight="1">
      <c r="A12" s="57" t="n">
        <v>5</v>
      </c>
      <c r="B12" s="58" t="inlineStr">
        <is>
          <t>権限・ID/PW確認</t>
        </is>
      </c>
      <c r="C12" s="59" t="inlineStr">
        <is>
          <t>準備</t>
        </is>
      </c>
      <c r="D12" s="60" t="n">
        <v>46258</v>
      </c>
      <c r="E12" s="60" t="n">
        <v>46278</v>
      </c>
      <c r="F12" s="61">
        <f>E12-D12+1</f>
        <v/>
      </c>
      <c r="G12" s="62" t="n">
        <v>0</v>
      </c>
      <c r="H12" s="63" t="n"/>
      <c r="I12" s="63" t="n"/>
      <c r="J12" s="63" t="n"/>
      <c r="K12" s="63" t="n"/>
      <c r="L12" s="63" t="n"/>
      <c r="M12" s="63" t="n"/>
      <c r="N12" s="63" t="n"/>
      <c r="O12" s="63" t="n"/>
      <c r="P12" s="63" t="n"/>
      <c r="Q12" s="63" t="n"/>
      <c r="R12" s="63" t="n"/>
      <c r="S12" s="63" t="n"/>
      <c r="T12" s="63" t="n"/>
      <c r="U12" s="63" t="n"/>
      <c r="V12" s="63" t="n"/>
      <c r="W12" s="63" t="n"/>
      <c r="X12" s="63" t="n"/>
      <c r="Y12" s="63" t="n"/>
      <c r="Z12" s="63" t="n"/>
      <c r="AA12" s="63" t="n"/>
      <c r="AB12" s="63" t="n"/>
      <c r="AC12" s="64" t="n"/>
      <c r="AD12" s="64" t="n"/>
      <c r="AE12" s="64" t="n"/>
      <c r="AF12" s="64" t="n"/>
      <c r="AG12" s="64" t="n"/>
      <c r="AH12" s="65" t="n"/>
      <c r="AI12" s="65" t="n"/>
      <c r="AJ12" s="64" t="n"/>
      <c r="AK12" s="64" t="n"/>
      <c r="AL12" s="64" t="n"/>
      <c r="AM12" s="64" t="n"/>
      <c r="AN12" s="64" t="n"/>
      <c r="AO12" s="65" t="n"/>
      <c r="AP12" s="65" t="n"/>
      <c r="AQ12" s="64" t="n"/>
      <c r="AR12" s="64" t="n"/>
      <c r="AS12" s="64" t="n"/>
      <c r="AT12" s="66" t="n"/>
      <c r="AU12" s="64" t="n"/>
      <c r="AV12" s="65" t="n"/>
      <c r="AW12" s="65" t="n"/>
      <c r="AX12" s="64" t="n"/>
      <c r="AY12" s="64" t="n"/>
      <c r="AZ12" s="64" t="n"/>
    </row>
    <row r="13" ht="20" customHeight="1">
      <c r="A13" s="57" t="n">
        <v>6</v>
      </c>
      <c r="B13" s="58" t="inlineStr">
        <is>
          <t>チェックリスト整理</t>
        </is>
      </c>
      <c r="C13" s="59" t="inlineStr">
        <is>
          <t>準備</t>
        </is>
      </c>
      <c r="D13" s="60" t="n">
        <v>46258</v>
      </c>
      <c r="E13" s="60" t="n">
        <v>46278</v>
      </c>
      <c r="F13" s="61">
        <f>E13-D13+1</f>
        <v/>
      </c>
      <c r="G13" s="62" t="n">
        <v>0</v>
      </c>
      <c r="H13" s="63" t="n"/>
      <c r="I13" s="63" t="n"/>
      <c r="J13" s="63" t="n"/>
      <c r="K13" s="63" t="n"/>
      <c r="L13" s="63" t="n"/>
      <c r="M13" s="63" t="n"/>
      <c r="N13" s="63" t="n"/>
      <c r="O13" s="63" t="n"/>
      <c r="P13" s="63" t="n"/>
      <c r="Q13" s="63" t="n"/>
      <c r="R13" s="63" t="n"/>
      <c r="S13" s="63" t="n"/>
      <c r="T13" s="63" t="n"/>
      <c r="U13" s="63" t="n"/>
      <c r="V13" s="63" t="n"/>
      <c r="W13" s="63" t="n"/>
      <c r="X13" s="63" t="n"/>
      <c r="Y13" s="63" t="n"/>
      <c r="Z13" s="63" t="n"/>
      <c r="AA13" s="63" t="n"/>
      <c r="AB13" s="63" t="n"/>
      <c r="AC13" s="64" t="n"/>
      <c r="AD13" s="64" t="n"/>
      <c r="AE13" s="64" t="n"/>
      <c r="AF13" s="64" t="n"/>
      <c r="AG13" s="64" t="n"/>
      <c r="AH13" s="65" t="n"/>
      <c r="AI13" s="65" t="n"/>
      <c r="AJ13" s="64" t="n"/>
      <c r="AK13" s="64" t="n"/>
      <c r="AL13" s="64" t="n"/>
      <c r="AM13" s="64" t="n"/>
      <c r="AN13" s="64" t="n"/>
      <c r="AO13" s="65" t="n"/>
      <c r="AP13" s="65" t="n"/>
      <c r="AQ13" s="64" t="n"/>
      <c r="AR13" s="64" t="n"/>
      <c r="AS13" s="64" t="n"/>
      <c r="AT13" s="66" t="n"/>
      <c r="AU13" s="64" t="n"/>
      <c r="AV13" s="65" t="n"/>
      <c r="AW13" s="65" t="n"/>
      <c r="AX13" s="64" t="n"/>
      <c r="AY13" s="64" t="n"/>
      <c r="AZ13" s="64" t="n"/>
    </row>
    <row r="14" ht="20" customHeight="1">
      <c r="A14" s="57" t="n">
        <v>7</v>
      </c>
      <c r="B14" s="58" t="inlineStr">
        <is>
          <t>Word→Excel移行</t>
        </is>
      </c>
      <c r="C14" s="59" t="inlineStr">
        <is>
          <t>準備</t>
        </is>
      </c>
      <c r="D14" s="60" t="n">
        <v>46258</v>
      </c>
      <c r="E14" s="60" t="n">
        <v>46285</v>
      </c>
      <c r="F14" s="61">
        <f>E14-D14+1</f>
        <v/>
      </c>
      <c r="G14" s="62" t="n">
        <v>0</v>
      </c>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4" t="n"/>
      <c r="AK14" s="64" t="n"/>
      <c r="AL14" s="64" t="n"/>
      <c r="AM14" s="64" t="n"/>
      <c r="AN14" s="64" t="n"/>
      <c r="AO14" s="65" t="n"/>
      <c r="AP14" s="65" t="n"/>
      <c r="AQ14" s="64" t="n"/>
      <c r="AR14" s="64" t="n"/>
      <c r="AS14" s="64" t="n"/>
      <c r="AT14" s="66" t="n"/>
      <c r="AU14" s="64" t="n"/>
      <c r="AV14" s="65" t="n"/>
      <c r="AW14" s="65" t="n"/>
      <c r="AX14" s="64" t="n"/>
      <c r="AY14" s="64" t="n"/>
      <c r="AZ14" s="64" t="n"/>
    </row>
    <row r="15" ht="20" customHeight="1">
      <c r="A15" s="57" t="n">
        <v>8</v>
      </c>
      <c r="B15" s="58" t="inlineStr">
        <is>
          <t>業務レクチャー</t>
        </is>
      </c>
      <c r="C15" s="59" t="inlineStr">
        <is>
          <t>準備</t>
        </is>
      </c>
      <c r="D15" s="60" t="n">
        <v>46258</v>
      </c>
      <c r="E15" s="60" t="n">
        <v>46271</v>
      </c>
      <c r="F15" s="61">
        <f>E15-D15+1</f>
        <v/>
      </c>
      <c r="G15" s="62" t="n">
        <v>0</v>
      </c>
      <c r="H15" s="63" t="n"/>
      <c r="I15" s="63" t="n"/>
      <c r="J15" s="63" t="n"/>
      <c r="K15" s="63" t="n"/>
      <c r="L15" s="63" t="n"/>
      <c r="M15" s="63" t="n"/>
      <c r="N15" s="63" t="n"/>
      <c r="O15" s="63" t="n"/>
      <c r="P15" s="63" t="n"/>
      <c r="Q15" s="63" t="n"/>
      <c r="R15" s="63" t="n"/>
      <c r="S15" s="63" t="n"/>
      <c r="T15" s="63" t="n"/>
      <c r="U15" s="63" t="n"/>
      <c r="V15" s="64" t="n"/>
      <c r="W15" s="64" t="n"/>
      <c r="X15" s="64" t="n"/>
      <c r="Y15" s="64" t="n"/>
      <c r="Z15" s="64" t="n"/>
      <c r="AA15" s="65" t="n"/>
      <c r="AB15" s="65" t="n"/>
      <c r="AC15" s="64" t="n"/>
      <c r="AD15" s="64" t="n"/>
      <c r="AE15" s="64" t="n"/>
      <c r="AF15" s="64" t="n"/>
      <c r="AG15" s="64" t="n"/>
      <c r="AH15" s="65" t="n"/>
      <c r="AI15" s="65" t="n"/>
      <c r="AJ15" s="64" t="n"/>
      <c r="AK15" s="64" t="n"/>
      <c r="AL15" s="64" t="n"/>
      <c r="AM15" s="64" t="n"/>
      <c r="AN15" s="64" t="n"/>
      <c r="AO15" s="65" t="n"/>
      <c r="AP15" s="65" t="n"/>
      <c r="AQ15" s="64" t="n"/>
      <c r="AR15" s="64" t="n"/>
      <c r="AS15" s="64" t="n"/>
      <c r="AT15" s="66" t="n"/>
      <c r="AU15" s="64" t="n"/>
      <c r="AV15" s="65" t="n"/>
      <c r="AW15" s="65" t="n"/>
      <c r="AX15" s="64" t="n"/>
      <c r="AY15" s="64" t="n"/>
      <c r="AZ15" s="64" t="n"/>
    </row>
    <row r="16" ht="20" customHeight="1">
      <c r="A16" s="57" t="n">
        <v>9</v>
      </c>
      <c r="B16" s="58" t="inlineStr">
        <is>
          <t>第1弾10件引き継ぎ</t>
        </is>
      </c>
      <c r="C16" s="67" t="inlineStr">
        <is>
          <t>引き継ぎ</t>
        </is>
      </c>
      <c r="D16" s="60" t="n">
        <v>46258</v>
      </c>
      <c r="E16" s="60" t="n">
        <v>46264</v>
      </c>
      <c r="F16" s="61">
        <f>E16-D16+1</f>
        <v/>
      </c>
      <c r="G16" s="62" t="n">
        <v>0</v>
      </c>
      <c r="H16" s="68" t="n"/>
      <c r="I16" s="68" t="n"/>
      <c r="J16" s="68" t="n"/>
      <c r="K16" s="68" t="n"/>
      <c r="L16" s="68" t="n"/>
      <c r="M16" s="68" t="n"/>
      <c r="N16" s="68" t="n"/>
      <c r="O16" s="64" t="n"/>
      <c r="P16" s="64" t="n"/>
      <c r="Q16" s="64" t="n"/>
      <c r="R16" s="64" t="n"/>
      <c r="S16" s="64" t="n"/>
      <c r="T16" s="65" t="n"/>
      <c r="U16" s="65" t="n"/>
      <c r="V16" s="64" t="n"/>
      <c r="W16" s="64" t="n"/>
      <c r="X16" s="64" t="n"/>
      <c r="Y16" s="64" t="n"/>
      <c r="Z16" s="64" t="n"/>
      <c r="AA16" s="65" t="n"/>
      <c r="AB16" s="65" t="n"/>
      <c r="AC16" s="64" t="n"/>
      <c r="AD16" s="64" t="n"/>
      <c r="AE16" s="64" t="n"/>
      <c r="AF16" s="64" t="n"/>
      <c r="AG16" s="64" t="n"/>
      <c r="AH16" s="65" t="n"/>
      <c r="AI16" s="65" t="n"/>
      <c r="AJ16" s="64" t="n"/>
      <c r="AK16" s="64" t="n"/>
      <c r="AL16" s="64" t="n"/>
      <c r="AM16" s="64" t="n"/>
      <c r="AN16" s="64" t="n"/>
      <c r="AO16" s="65" t="n"/>
      <c r="AP16" s="65" t="n"/>
      <c r="AQ16" s="64" t="n"/>
      <c r="AR16" s="64" t="n"/>
      <c r="AS16" s="64" t="n"/>
      <c r="AT16" s="66" t="n"/>
      <c r="AU16" s="64" t="n"/>
      <c r="AV16" s="65" t="n"/>
      <c r="AW16" s="65" t="n"/>
      <c r="AX16" s="64" t="n"/>
      <c r="AY16" s="64" t="n"/>
      <c r="AZ16" s="64" t="n"/>
    </row>
    <row r="17" ht="20" customHeight="1">
      <c r="A17" s="57" t="n">
        <v>10</v>
      </c>
      <c r="B17" s="58" t="inlineStr">
        <is>
          <t>第2弾20件引き継ぎ</t>
        </is>
      </c>
      <c r="C17" s="67" t="inlineStr">
        <is>
          <t>引き継ぎ</t>
        </is>
      </c>
      <c r="D17" s="60" t="n">
        <v>46265</v>
      </c>
      <c r="E17" s="60" t="n">
        <v>46271</v>
      </c>
      <c r="F17" s="61">
        <f>E17-D17+1</f>
        <v/>
      </c>
      <c r="G17" s="62" t="n">
        <v>0</v>
      </c>
      <c r="H17" s="64" t="n"/>
      <c r="I17" s="64" t="n"/>
      <c r="J17" s="64" t="n"/>
      <c r="K17" s="64" t="n"/>
      <c r="L17" s="64" t="n"/>
      <c r="M17" s="65" t="n"/>
      <c r="N17" s="65" t="n"/>
      <c r="O17" s="68" t="n"/>
      <c r="P17" s="68" t="n"/>
      <c r="Q17" s="68" t="n"/>
      <c r="R17" s="68" t="n"/>
      <c r="S17" s="68" t="n"/>
      <c r="T17" s="68" t="n"/>
      <c r="U17" s="68" t="n"/>
      <c r="V17" s="64" t="n"/>
      <c r="W17" s="64" t="n"/>
      <c r="X17" s="64" t="n"/>
      <c r="Y17" s="64" t="n"/>
      <c r="Z17" s="64" t="n"/>
      <c r="AA17" s="65" t="n"/>
      <c r="AB17" s="65" t="n"/>
      <c r="AC17" s="64" t="n"/>
      <c r="AD17" s="64" t="n"/>
      <c r="AE17" s="64" t="n"/>
      <c r="AF17" s="64" t="n"/>
      <c r="AG17" s="64" t="n"/>
      <c r="AH17" s="65" t="n"/>
      <c r="AI17" s="65" t="n"/>
      <c r="AJ17" s="64" t="n"/>
      <c r="AK17" s="64" t="n"/>
      <c r="AL17" s="64" t="n"/>
      <c r="AM17" s="64" t="n"/>
      <c r="AN17" s="64" t="n"/>
      <c r="AO17" s="65" t="n"/>
      <c r="AP17" s="65" t="n"/>
      <c r="AQ17" s="64" t="n"/>
      <c r="AR17" s="64" t="n"/>
      <c r="AS17" s="64" t="n"/>
      <c r="AT17" s="66" t="n"/>
      <c r="AU17" s="64" t="n"/>
      <c r="AV17" s="65" t="n"/>
      <c r="AW17" s="65" t="n"/>
      <c r="AX17" s="64" t="n"/>
      <c r="AY17" s="64" t="n"/>
      <c r="AZ17" s="64" t="n"/>
    </row>
    <row r="18" ht="20" customHeight="1">
      <c r="A18" s="57" t="n">
        <v>11</v>
      </c>
      <c r="B18" s="58" t="inlineStr">
        <is>
          <t>第3弾25件引き継ぎ</t>
        </is>
      </c>
      <c r="C18" s="67" t="inlineStr">
        <is>
          <t>引き継ぎ</t>
        </is>
      </c>
      <c r="D18" s="60" t="n">
        <v>46272</v>
      </c>
      <c r="E18" s="60" t="n">
        <v>46278</v>
      </c>
      <c r="F18" s="61">
        <f>E18-D18+1</f>
        <v/>
      </c>
      <c r="G18" s="62" t="n">
        <v>0</v>
      </c>
      <c r="H18" s="64" t="n"/>
      <c r="I18" s="64" t="n"/>
      <c r="J18" s="64" t="n"/>
      <c r="K18" s="64" t="n"/>
      <c r="L18" s="64" t="n"/>
      <c r="M18" s="65" t="n"/>
      <c r="N18" s="65" t="n"/>
      <c r="O18" s="64" t="n"/>
      <c r="P18" s="64" t="n"/>
      <c r="Q18" s="64" t="n"/>
      <c r="R18" s="64" t="n"/>
      <c r="S18" s="64" t="n"/>
      <c r="T18" s="65" t="n"/>
      <c r="U18" s="65" t="n"/>
      <c r="V18" s="68" t="n"/>
      <c r="W18" s="68" t="n"/>
      <c r="X18" s="68" t="n"/>
      <c r="Y18" s="68" t="n"/>
      <c r="Z18" s="68" t="n"/>
      <c r="AA18" s="68" t="n"/>
      <c r="AB18" s="68" t="n"/>
      <c r="AC18" s="64" t="n"/>
      <c r="AD18" s="64" t="n"/>
      <c r="AE18" s="64" t="n"/>
      <c r="AF18" s="64" t="n"/>
      <c r="AG18" s="64" t="n"/>
      <c r="AH18" s="65" t="n"/>
      <c r="AI18" s="65" t="n"/>
      <c r="AJ18" s="64" t="n"/>
      <c r="AK18" s="64" t="n"/>
      <c r="AL18" s="64" t="n"/>
      <c r="AM18" s="64" t="n"/>
      <c r="AN18" s="64" t="n"/>
      <c r="AO18" s="65" t="n"/>
      <c r="AP18" s="65" t="n"/>
      <c r="AQ18" s="64" t="n"/>
      <c r="AR18" s="64" t="n"/>
      <c r="AS18" s="64" t="n"/>
      <c r="AT18" s="66" t="n"/>
      <c r="AU18" s="64" t="n"/>
      <c r="AV18" s="65" t="n"/>
      <c r="AW18" s="65" t="n"/>
      <c r="AX18" s="64" t="n"/>
      <c r="AY18" s="64" t="n"/>
      <c r="AZ18" s="64" t="n"/>
    </row>
    <row r="19" ht="20" customHeight="1">
      <c r="A19" s="57" t="n">
        <v>12</v>
      </c>
      <c r="B19" s="58" t="inlineStr">
        <is>
          <t>第4弾25件引き継ぎ</t>
        </is>
      </c>
      <c r="C19" s="67" t="inlineStr">
        <is>
          <t>引き継ぎ</t>
        </is>
      </c>
      <c r="D19" s="60" t="n">
        <v>46279</v>
      </c>
      <c r="E19" s="60" t="n">
        <v>46285</v>
      </c>
      <c r="F19" s="61">
        <f>E19-D19+1</f>
        <v/>
      </c>
      <c r="G19" s="62" t="n">
        <v>0</v>
      </c>
      <c r="H19" s="64" t="n"/>
      <c r="I19" s="64" t="n"/>
      <c r="J19" s="64" t="n"/>
      <c r="K19" s="64" t="n"/>
      <c r="L19" s="64" t="n"/>
      <c r="M19" s="65" t="n"/>
      <c r="N19" s="65" t="n"/>
      <c r="O19" s="64" t="n"/>
      <c r="P19" s="64" t="n"/>
      <c r="Q19" s="64" t="n"/>
      <c r="R19" s="64" t="n"/>
      <c r="S19" s="64" t="n"/>
      <c r="T19" s="65" t="n"/>
      <c r="U19" s="65" t="n"/>
      <c r="V19" s="64" t="n"/>
      <c r="W19" s="64" t="n"/>
      <c r="X19" s="64" t="n"/>
      <c r="Y19" s="64" t="n"/>
      <c r="Z19" s="64" t="n"/>
      <c r="AA19" s="65" t="n"/>
      <c r="AB19" s="65" t="n"/>
      <c r="AC19" s="68" t="n"/>
      <c r="AD19" s="68" t="n"/>
      <c r="AE19" s="68" t="n"/>
      <c r="AF19" s="68" t="n"/>
      <c r="AG19" s="68" t="n"/>
      <c r="AH19" s="68" t="n"/>
      <c r="AI19" s="68" t="n"/>
      <c r="AJ19" s="64" t="n"/>
      <c r="AK19" s="64" t="n"/>
      <c r="AL19" s="64" t="n"/>
      <c r="AM19" s="64" t="n"/>
      <c r="AN19" s="64" t="n"/>
      <c r="AO19" s="65" t="n"/>
      <c r="AP19" s="65" t="n"/>
      <c r="AQ19" s="64" t="n"/>
      <c r="AR19" s="64" t="n"/>
      <c r="AS19" s="64" t="n"/>
      <c r="AT19" s="66" t="n"/>
      <c r="AU19" s="64" t="n"/>
      <c r="AV19" s="65" t="n"/>
      <c r="AW19" s="65" t="n"/>
      <c r="AX19" s="64" t="n"/>
      <c r="AY19" s="64" t="n"/>
      <c r="AZ19" s="64" t="n"/>
    </row>
    <row r="20" ht="20" customHeight="1">
      <c r="A20" s="57" t="n">
        <v>13</v>
      </c>
      <c r="B20" s="58" t="inlineStr">
        <is>
          <t>第5弾20件引き継ぎ</t>
        </is>
      </c>
      <c r="C20" s="67" t="inlineStr">
        <is>
          <t>引き継ぎ</t>
        </is>
      </c>
      <c r="D20" s="60" t="n">
        <v>46286</v>
      </c>
      <c r="E20" s="60" t="n">
        <v>46292</v>
      </c>
      <c r="F20" s="61">
        <f>E20-D20+1</f>
        <v/>
      </c>
      <c r="G20" s="62" t="n">
        <v>0</v>
      </c>
      <c r="H20" s="64" t="n"/>
      <c r="I20" s="64" t="n"/>
      <c r="J20" s="64" t="n"/>
      <c r="K20" s="64" t="n"/>
      <c r="L20" s="64" t="n"/>
      <c r="M20" s="65" t="n"/>
      <c r="N20" s="65" t="n"/>
      <c r="O20" s="64" t="n"/>
      <c r="P20" s="64" t="n"/>
      <c r="Q20" s="64" t="n"/>
      <c r="R20" s="64" t="n"/>
      <c r="S20" s="64" t="n"/>
      <c r="T20" s="65" t="n"/>
      <c r="U20" s="65" t="n"/>
      <c r="V20" s="64" t="n"/>
      <c r="W20" s="64" t="n"/>
      <c r="X20" s="64" t="n"/>
      <c r="Y20" s="64" t="n"/>
      <c r="Z20" s="64" t="n"/>
      <c r="AA20" s="65" t="n"/>
      <c r="AB20" s="65" t="n"/>
      <c r="AC20" s="64" t="n"/>
      <c r="AD20" s="64" t="n"/>
      <c r="AE20" s="64" t="n"/>
      <c r="AF20" s="64" t="n"/>
      <c r="AG20" s="64" t="n"/>
      <c r="AH20" s="65" t="n"/>
      <c r="AI20" s="65" t="n"/>
      <c r="AJ20" s="68" t="n"/>
      <c r="AK20" s="68" t="n"/>
      <c r="AL20" s="68" t="n"/>
      <c r="AM20" s="68" t="n"/>
      <c r="AN20" s="68" t="n"/>
      <c r="AO20" s="68" t="n"/>
      <c r="AP20" s="68" t="n"/>
      <c r="AQ20" s="64" t="n"/>
      <c r="AR20" s="64" t="n"/>
      <c r="AS20" s="64" t="n"/>
      <c r="AT20" s="66" t="n"/>
      <c r="AU20" s="64" t="n"/>
      <c r="AV20" s="65" t="n"/>
      <c r="AW20" s="65" t="n"/>
      <c r="AX20" s="64" t="n"/>
      <c r="AY20" s="64" t="n"/>
      <c r="AZ20" s="64" t="n"/>
    </row>
    <row r="21" ht="20" customHeight="1">
      <c r="A21" s="57" t="n">
        <v>14</v>
      </c>
      <c r="B21" s="58" t="inlineStr">
        <is>
          <t>実案件並走運用</t>
        </is>
      </c>
      <c r="C21" s="69" t="inlineStr">
        <is>
          <t>実運用・並走</t>
        </is>
      </c>
      <c r="D21" s="60" t="n">
        <v>46265</v>
      </c>
      <c r="E21" s="60" t="n">
        <v>46292</v>
      </c>
      <c r="F21" s="61">
        <f>E21-D21+1</f>
        <v/>
      </c>
      <c r="G21" s="62" t="n">
        <v>0</v>
      </c>
      <c r="H21" s="64" t="n"/>
      <c r="I21" s="64" t="n"/>
      <c r="J21" s="64" t="n"/>
      <c r="K21" s="64" t="n"/>
      <c r="L21" s="64" t="n"/>
      <c r="M21" s="65" t="n"/>
      <c r="N21" s="65" t="n"/>
      <c r="O21" s="70" t="n"/>
      <c r="P21" s="70" t="n"/>
      <c r="Q21" s="70" t="n"/>
      <c r="R21" s="70" t="n"/>
      <c r="S21" s="70" t="n"/>
      <c r="T21" s="70" t="n"/>
      <c r="U21" s="70" t="n"/>
      <c r="V21" s="70" t="n"/>
      <c r="W21" s="70" t="n"/>
      <c r="X21" s="70" t="n"/>
      <c r="Y21" s="70" t="n"/>
      <c r="Z21" s="70" t="n"/>
      <c r="AA21" s="70" t="n"/>
      <c r="AB21" s="70" t="n"/>
      <c r="AC21" s="70" t="n"/>
      <c r="AD21" s="70" t="n"/>
      <c r="AE21" s="70" t="n"/>
      <c r="AF21" s="70" t="n"/>
      <c r="AG21" s="70" t="n"/>
      <c r="AH21" s="70" t="n"/>
      <c r="AI21" s="70" t="n"/>
      <c r="AJ21" s="70" t="n"/>
      <c r="AK21" s="70" t="n"/>
      <c r="AL21" s="70" t="n"/>
      <c r="AM21" s="70" t="n"/>
      <c r="AN21" s="70" t="n"/>
      <c r="AO21" s="70" t="n"/>
      <c r="AP21" s="70" t="n"/>
      <c r="AQ21" s="64" t="n"/>
      <c r="AR21" s="64" t="n"/>
      <c r="AS21" s="64" t="n"/>
      <c r="AT21" s="66" t="n"/>
      <c r="AU21" s="64" t="n"/>
      <c r="AV21" s="65" t="n"/>
      <c r="AW21" s="65" t="n"/>
      <c r="AX21" s="64" t="n"/>
      <c r="AY21" s="64" t="n"/>
      <c r="AZ21" s="64" t="n"/>
    </row>
    <row r="22" ht="20" customHeight="1">
      <c r="A22" s="57" t="n">
        <v>15</v>
      </c>
      <c r="B22" s="58" t="inlineStr">
        <is>
          <t>顧客対応引き継ぎ</t>
        </is>
      </c>
      <c r="C22" s="69" t="inlineStr">
        <is>
          <t>実運用・並走</t>
        </is>
      </c>
      <c r="D22" s="60" t="n">
        <v>46279</v>
      </c>
      <c r="E22" s="60" t="n">
        <v>46292</v>
      </c>
      <c r="F22" s="61">
        <f>E22-D22+1</f>
        <v/>
      </c>
      <c r="G22" s="62" t="n">
        <v>0</v>
      </c>
      <c r="H22" s="64" t="n"/>
      <c r="I22" s="64" t="n"/>
      <c r="J22" s="64" t="n"/>
      <c r="K22" s="64" t="n"/>
      <c r="L22" s="64" t="n"/>
      <c r="M22" s="65" t="n"/>
      <c r="N22" s="65" t="n"/>
      <c r="O22" s="64" t="n"/>
      <c r="P22" s="64" t="n"/>
      <c r="Q22" s="64" t="n"/>
      <c r="R22" s="64" t="n"/>
      <c r="S22" s="64" t="n"/>
      <c r="T22" s="65" t="n"/>
      <c r="U22" s="65" t="n"/>
      <c r="V22" s="64" t="n"/>
      <c r="W22" s="64" t="n"/>
      <c r="X22" s="64" t="n"/>
      <c r="Y22" s="64" t="n"/>
      <c r="Z22" s="64" t="n"/>
      <c r="AA22" s="65" t="n"/>
      <c r="AB22" s="65" t="n"/>
      <c r="AC22" s="70" t="n"/>
      <c r="AD22" s="70" t="n"/>
      <c r="AE22" s="70" t="n"/>
      <c r="AF22" s="70" t="n"/>
      <c r="AG22" s="70" t="n"/>
      <c r="AH22" s="70" t="n"/>
      <c r="AI22" s="70" t="n"/>
      <c r="AJ22" s="70" t="n"/>
      <c r="AK22" s="70" t="n"/>
      <c r="AL22" s="70" t="n"/>
      <c r="AM22" s="70" t="n"/>
      <c r="AN22" s="70" t="n"/>
      <c r="AO22" s="70" t="n"/>
      <c r="AP22" s="70" t="n"/>
      <c r="AQ22" s="64" t="n"/>
      <c r="AR22" s="64" t="n"/>
      <c r="AS22" s="64" t="n"/>
      <c r="AT22" s="66" t="n"/>
      <c r="AU22" s="64" t="n"/>
      <c r="AV22" s="65" t="n"/>
      <c r="AW22" s="65" t="n"/>
      <c r="AX22" s="64" t="n"/>
      <c r="AY22" s="64" t="n"/>
      <c r="AZ22" s="64" t="n"/>
    </row>
    <row r="23" ht="20" customHeight="1">
      <c r="A23" s="57" t="n">
        <v>16</v>
      </c>
      <c r="B23" s="58" t="inlineStr">
        <is>
          <t>進捗管理引き継ぎ</t>
        </is>
      </c>
      <c r="C23" s="69" t="inlineStr">
        <is>
          <t>実運用・並走</t>
        </is>
      </c>
      <c r="D23" s="60" t="n">
        <v>46265</v>
      </c>
      <c r="E23" s="60" t="n">
        <v>46292</v>
      </c>
      <c r="F23" s="61">
        <f>E23-D23+1</f>
        <v/>
      </c>
      <c r="G23" s="62" t="n">
        <v>0</v>
      </c>
      <c r="H23" s="64" t="n"/>
      <c r="I23" s="64" t="n"/>
      <c r="J23" s="64" t="n"/>
      <c r="K23" s="64" t="n"/>
      <c r="L23" s="64" t="n"/>
      <c r="M23" s="65" t="n"/>
      <c r="N23" s="65" t="n"/>
      <c r="O23" s="70" t="n"/>
      <c r="P23" s="70" t="n"/>
      <c r="Q23" s="70" t="n"/>
      <c r="R23" s="70" t="n"/>
      <c r="S23" s="70" t="n"/>
      <c r="T23" s="70" t="n"/>
      <c r="U23" s="70" t="n"/>
      <c r="V23" s="70" t="n"/>
      <c r="W23" s="70" t="n"/>
      <c r="X23" s="70" t="n"/>
      <c r="Y23" s="70" t="n"/>
      <c r="Z23" s="70" t="n"/>
      <c r="AA23" s="70" t="n"/>
      <c r="AB23" s="70" t="n"/>
      <c r="AC23" s="70" t="n"/>
      <c r="AD23" s="70" t="n"/>
      <c r="AE23" s="70" t="n"/>
      <c r="AF23" s="70" t="n"/>
      <c r="AG23" s="70" t="n"/>
      <c r="AH23" s="70" t="n"/>
      <c r="AI23" s="70" t="n"/>
      <c r="AJ23" s="70" t="n"/>
      <c r="AK23" s="70" t="n"/>
      <c r="AL23" s="70" t="n"/>
      <c r="AM23" s="70" t="n"/>
      <c r="AN23" s="70" t="n"/>
      <c r="AO23" s="70" t="n"/>
      <c r="AP23" s="70" t="n"/>
      <c r="AQ23" s="64" t="n"/>
      <c r="AR23" s="64" t="n"/>
      <c r="AS23" s="64" t="n"/>
      <c r="AT23" s="66" t="n"/>
      <c r="AU23" s="64" t="n"/>
      <c r="AV23" s="65" t="n"/>
      <c r="AW23" s="65" t="n"/>
      <c r="AX23" s="64" t="n"/>
      <c r="AY23" s="64" t="n"/>
      <c r="AZ23" s="64" t="n"/>
    </row>
    <row r="24" ht="20" customHeight="1">
      <c r="A24" s="57" t="n">
        <v>17</v>
      </c>
      <c r="B24" s="58" t="inlineStr">
        <is>
          <t>バックアップ担当設定</t>
        </is>
      </c>
      <c r="C24" s="69" t="inlineStr">
        <is>
          <t>実運用・並走</t>
        </is>
      </c>
      <c r="D24" s="60" t="n">
        <v>46279</v>
      </c>
      <c r="E24" s="60" t="n">
        <v>46292</v>
      </c>
      <c r="F24" s="61">
        <f>E24-D24+1</f>
        <v/>
      </c>
      <c r="G24" s="62" t="n">
        <v>0</v>
      </c>
      <c r="H24" s="64" t="n"/>
      <c r="I24" s="64" t="n"/>
      <c r="J24" s="64" t="n"/>
      <c r="K24" s="64" t="n"/>
      <c r="L24" s="64" t="n"/>
      <c r="M24" s="65" t="n"/>
      <c r="N24" s="65" t="n"/>
      <c r="O24" s="64" t="n"/>
      <c r="P24" s="64" t="n"/>
      <c r="Q24" s="64" t="n"/>
      <c r="R24" s="64" t="n"/>
      <c r="S24" s="64" t="n"/>
      <c r="T24" s="65" t="n"/>
      <c r="U24" s="65" t="n"/>
      <c r="V24" s="64" t="n"/>
      <c r="W24" s="64" t="n"/>
      <c r="X24" s="64" t="n"/>
      <c r="Y24" s="64" t="n"/>
      <c r="Z24" s="64" t="n"/>
      <c r="AA24" s="65" t="n"/>
      <c r="AB24" s="65" t="n"/>
      <c r="AC24" s="70" t="n"/>
      <c r="AD24" s="70" t="n"/>
      <c r="AE24" s="70" t="n"/>
      <c r="AF24" s="70" t="n"/>
      <c r="AG24" s="70" t="n"/>
      <c r="AH24" s="70" t="n"/>
      <c r="AI24" s="70" t="n"/>
      <c r="AJ24" s="70" t="n"/>
      <c r="AK24" s="70" t="n"/>
      <c r="AL24" s="70" t="n"/>
      <c r="AM24" s="70" t="n"/>
      <c r="AN24" s="70" t="n"/>
      <c r="AO24" s="70" t="n"/>
      <c r="AP24" s="70" t="n"/>
      <c r="AQ24" s="64" t="n"/>
      <c r="AR24" s="64" t="n"/>
      <c r="AS24" s="64" t="n"/>
      <c r="AT24" s="66" t="n"/>
      <c r="AU24" s="64" t="n"/>
      <c r="AV24" s="65" t="n"/>
      <c r="AW24" s="65" t="n"/>
      <c r="AX24" s="64" t="n"/>
      <c r="AY24" s="64" t="n"/>
      <c r="AZ24" s="64" t="n"/>
    </row>
    <row r="25" ht="20" customHeight="1">
      <c r="A25" s="57" t="n">
        <v>18</v>
      </c>
      <c r="B25" s="58" t="inlineStr">
        <is>
          <t>例外・差し戻し記録／対応整理</t>
        </is>
      </c>
      <c r="C25" s="71" t="inlineStr">
        <is>
          <t>確認・QA</t>
        </is>
      </c>
      <c r="D25" s="60" t="n">
        <v>46265</v>
      </c>
      <c r="E25" s="60" t="n">
        <v>46292</v>
      </c>
      <c r="F25" s="61">
        <f>E25-D25+1</f>
        <v/>
      </c>
      <c r="G25" s="62" t="n">
        <v>0</v>
      </c>
      <c r="H25" s="64" t="n"/>
      <c r="I25" s="64" t="n"/>
      <c r="J25" s="64" t="n"/>
      <c r="K25" s="64" t="n"/>
      <c r="L25" s="64" t="n"/>
      <c r="M25" s="65" t="n"/>
      <c r="N25" s="65"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72" t="n"/>
      <c r="AJ25" s="72" t="n"/>
      <c r="AK25" s="72" t="n"/>
      <c r="AL25" s="72" t="n"/>
      <c r="AM25" s="72" t="n"/>
      <c r="AN25" s="72" t="n"/>
      <c r="AO25" s="72" t="n"/>
      <c r="AP25" s="72" t="n"/>
      <c r="AQ25" s="64" t="n"/>
      <c r="AR25" s="64" t="n"/>
      <c r="AS25" s="64" t="n"/>
      <c r="AT25" s="66" t="n"/>
      <c r="AU25" s="64" t="n"/>
      <c r="AV25" s="65" t="n"/>
      <c r="AW25" s="65" t="n"/>
      <c r="AX25" s="64" t="n"/>
      <c r="AY25" s="64" t="n"/>
      <c r="AZ25" s="64" t="n"/>
    </row>
    <row r="26" ht="20" customHeight="1">
      <c r="A26" s="57" t="n">
        <v>19</v>
      </c>
      <c r="B26" s="58" t="inlineStr">
        <is>
          <t>未解決事項解消</t>
        </is>
      </c>
      <c r="C26" s="71" t="inlineStr">
        <is>
          <t>確認・QA</t>
        </is>
      </c>
      <c r="D26" s="60" t="n">
        <v>46293</v>
      </c>
      <c r="E26" s="60" t="n">
        <v>46295</v>
      </c>
      <c r="F26" s="61">
        <f>E26-D26+1</f>
        <v/>
      </c>
      <c r="G26" s="62" t="n">
        <v>0</v>
      </c>
      <c r="H26" s="64" t="n"/>
      <c r="I26" s="64" t="n"/>
      <c r="J26" s="64" t="n"/>
      <c r="K26" s="64" t="n"/>
      <c r="L26" s="64" t="n"/>
      <c r="M26" s="65" t="n"/>
      <c r="N26" s="65" t="n"/>
      <c r="O26" s="64" t="n"/>
      <c r="P26" s="64" t="n"/>
      <c r="Q26" s="64" t="n"/>
      <c r="R26" s="64" t="n"/>
      <c r="S26" s="64" t="n"/>
      <c r="T26" s="65" t="n"/>
      <c r="U26" s="65" t="n"/>
      <c r="V26" s="64" t="n"/>
      <c r="W26" s="64" t="n"/>
      <c r="X26" s="64" t="n"/>
      <c r="Y26" s="64" t="n"/>
      <c r="Z26" s="64" t="n"/>
      <c r="AA26" s="65" t="n"/>
      <c r="AB26" s="65" t="n"/>
      <c r="AC26" s="64" t="n"/>
      <c r="AD26" s="64" t="n"/>
      <c r="AE26" s="64" t="n"/>
      <c r="AF26" s="64" t="n"/>
      <c r="AG26" s="64" t="n"/>
      <c r="AH26" s="65" t="n"/>
      <c r="AI26" s="65" t="n"/>
      <c r="AJ26" s="64" t="n"/>
      <c r="AK26" s="64" t="n"/>
      <c r="AL26" s="64" t="n"/>
      <c r="AM26" s="64" t="n"/>
      <c r="AN26" s="64" t="n"/>
      <c r="AO26" s="65" t="n"/>
      <c r="AP26" s="65" t="n"/>
      <c r="AQ26" s="72" t="n"/>
      <c r="AR26" s="72" t="n"/>
      <c r="AS26" s="72" t="n"/>
      <c r="AT26" s="66" t="n"/>
      <c r="AU26" s="64" t="n"/>
      <c r="AV26" s="65" t="n"/>
      <c r="AW26" s="65" t="n"/>
      <c r="AX26" s="64" t="n"/>
      <c r="AY26" s="64" t="n"/>
      <c r="AZ26" s="64" t="n"/>
    </row>
    <row r="27" ht="20" customHeight="1">
      <c r="A27" s="57" t="n">
        <v>20</v>
      </c>
      <c r="B27" s="58" t="inlineStr">
        <is>
          <t>最終リハーサル</t>
        </is>
      </c>
      <c r="C27" s="71" t="inlineStr">
        <is>
          <t>確認・QA</t>
        </is>
      </c>
      <c r="D27" s="60" t="n">
        <v>46293</v>
      </c>
      <c r="E27" s="60" t="n">
        <v>46295</v>
      </c>
      <c r="F27" s="61">
        <f>E27-D27+1</f>
        <v/>
      </c>
      <c r="G27" s="62" t="n">
        <v>0</v>
      </c>
      <c r="H27" s="64" t="n"/>
      <c r="I27" s="64" t="n"/>
      <c r="J27" s="64" t="n"/>
      <c r="K27" s="64" t="n"/>
      <c r="L27" s="64" t="n"/>
      <c r="M27" s="65" t="n"/>
      <c r="N27" s="65" t="n"/>
      <c r="O27" s="64" t="n"/>
      <c r="P27" s="64" t="n"/>
      <c r="Q27" s="64" t="n"/>
      <c r="R27" s="64" t="n"/>
      <c r="S27" s="64" t="n"/>
      <c r="T27" s="65" t="n"/>
      <c r="U27" s="65" t="n"/>
      <c r="V27" s="64" t="n"/>
      <c r="W27" s="64" t="n"/>
      <c r="X27" s="64" t="n"/>
      <c r="Y27" s="64" t="n"/>
      <c r="Z27" s="64" t="n"/>
      <c r="AA27" s="65" t="n"/>
      <c r="AB27" s="65" t="n"/>
      <c r="AC27" s="64" t="n"/>
      <c r="AD27" s="64" t="n"/>
      <c r="AE27" s="64" t="n"/>
      <c r="AF27" s="64" t="n"/>
      <c r="AG27" s="64" t="n"/>
      <c r="AH27" s="65" t="n"/>
      <c r="AI27" s="65" t="n"/>
      <c r="AJ27" s="64" t="n"/>
      <c r="AK27" s="64" t="n"/>
      <c r="AL27" s="64" t="n"/>
      <c r="AM27" s="64" t="n"/>
      <c r="AN27" s="64" t="n"/>
      <c r="AO27" s="65" t="n"/>
      <c r="AP27" s="65" t="n"/>
      <c r="AQ27" s="72" t="n"/>
      <c r="AR27" s="72" t="n"/>
      <c r="AS27" s="72" t="n"/>
      <c r="AT27" s="66" t="n"/>
      <c r="AU27" s="64" t="n"/>
      <c r="AV27" s="65" t="n"/>
      <c r="AW27" s="65" t="n"/>
      <c r="AX27" s="64" t="n"/>
      <c r="AY27" s="64" t="n"/>
      <c r="AZ27" s="64" t="n"/>
    </row>
    <row r="28" ht="20" customHeight="1">
      <c r="A28" s="57" t="n">
        <v>21</v>
      </c>
      <c r="B28" s="58" t="inlineStr">
        <is>
          <t>10月開始判定</t>
        </is>
      </c>
      <c r="C28" s="71" t="inlineStr">
        <is>
          <t>確認・QA</t>
        </is>
      </c>
      <c r="D28" s="60" t="n">
        <v>46295</v>
      </c>
      <c r="E28" s="60" t="n">
        <v>46295</v>
      </c>
      <c r="F28" s="61">
        <f>E28-D28+1</f>
        <v/>
      </c>
      <c r="G28" s="62" t="n">
        <v>0</v>
      </c>
      <c r="H28" s="64" t="n"/>
      <c r="I28" s="64" t="n"/>
      <c r="J28" s="64" t="n"/>
      <c r="K28" s="64" t="n"/>
      <c r="L28" s="64" t="n"/>
      <c r="M28" s="65" t="n"/>
      <c r="N28" s="65" t="n"/>
      <c r="O28" s="64" t="n"/>
      <c r="P28" s="64" t="n"/>
      <c r="Q28" s="64" t="n"/>
      <c r="R28" s="64" t="n"/>
      <c r="S28" s="64" t="n"/>
      <c r="T28" s="65" t="n"/>
      <c r="U28" s="65" t="n"/>
      <c r="V28" s="64" t="n"/>
      <c r="W28" s="64" t="n"/>
      <c r="X28" s="64" t="n"/>
      <c r="Y28" s="64" t="n"/>
      <c r="Z28" s="64" t="n"/>
      <c r="AA28" s="65" t="n"/>
      <c r="AB28" s="65" t="n"/>
      <c r="AC28" s="64" t="n"/>
      <c r="AD28" s="64" t="n"/>
      <c r="AE28" s="64" t="n"/>
      <c r="AF28" s="64" t="n"/>
      <c r="AG28" s="64" t="n"/>
      <c r="AH28" s="65" t="n"/>
      <c r="AI28" s="65" t="n"/>
      <c r="AJ28" s="64" t="n"/>
      <c r="AK28" s="64" t="n"/>
      <c r="AL28" s="64" t="n"/>
      <c r="AM28" s="64" t="n"/>
      <c r="AN28" s="64" t="n"/>
      <c r="AO28" s="65" t="n"/>
      <c r="AP28" s="65" t="n"/>
      <c r="AQ28" s="64" t="n"/>
      <c r="AR28" s="64" t="n"/>
      <c r="AS28" s="72" t="n"/>
      <c r="AT28" s="66" t="n"/>
      <c r="AU28" s="64" t="n"/>
      <c r="AV28" s="65" t="n"/>
      <c r="AW28" s="65" t="n"/>
      <c r="AX28" s="64" t="n"/>
      <c r="AY28" s="64" t="n"/>
      <c r="AZ28" s="64" t="n"/>
    </row>
    <row r="29" ht="20" customHeight="1">
      <c r="A29" s="57" t="n">
        <v>22</v>
      </c>
      <c r="B29" s="58" t="inlineStr">
        <is>
          <t>10月完全運用開始</t>
        </is>
      </c>
      <c r="C29" s="73" t="inlineStr">
        <is>
          <t>完了・本番</t>
        </is>
      </c>
      <c r="D29" s="60" t="n">
        <v>46296</v>
      </c>
      <c r="E29" s="60" t="n">
        <v>46302</v>
      </c>
      <c r="F29" s="61">
        <f>E29-D29+1</f>
        <v/>
      </c>
      <c r="G29" s="62" t="n">
        <v>0</v>
      </c>
      <c r="H29" s="64" t="n"/>
      <c r="I29" s="64" t="n"/>
      <c r="J29" s="64" t="n"/>
      <c r="K29" s="64" t="n"/>
      <c r="L29" s="64" t="n"/>
      <c r="M29" s="65" t="n"/>
      <c r="N29" s="65" t="n"/>
      <c r="O29" s="64" t="n"/>
      <c r="P29" s="64" t="n"/>
      <c r="Q29" s="64" t="n"/>
      <c r="R29" s="64" t="n"/>
      <c r="S29" s="64" t="n"/>
      <c r="T29" s="65" t="n"/>
      <c r="U29" s="65" t="n"/>
      <c r="V29" s="64" t="n"/>
      <c r="W29" s="64" t="n"/>
      <c r="X29" s="64" t="n"/>
      <c r="Y29" s="64" t="n"/>
      <c r="Z29" s="64" t="n"/>
      <c r="AA29" s="65" t="n"/>
      <c r="AB29" s="65" t="n"/>
      <c r="AC29" s="64" t="n"/>
      <c r="AD29" s="64" t="n"/>
      <c r="AE29" s="64" t="n"/>
      <c r="AF29" s="64" t="n"/>
      <c r="AG29" s="64" t="n"/>
      <c r="AH29" s="65" t="n"/>
      <c r="AI29" s="65" t="n"/>
      <c r="AJ29" s="64" t="n"/>
      <c r="AK29" s="64" t="n"/>
      <c r="AL29" s="64" t="n"/>
      <c r="AM29" s="64" t="n"/>
      <c r="AN29" s="64" t="n"/>
      <c r="AO29" s="65" t="n"/>
      <c r="AP29" s="65" t="n"/>
      <c r="AQ29" s="64" t="n"/>
      <c r="AR29" s="64" t="n"/>
      <c r="AS29" s="64" t="n"/>
      <c r="AT29" s="74" t="n"/>
      <c r="AU29" s="75" t="n"/>
      <c r="AV29" s="75" t="n"/>
      <c r="AW29" s="75" t="n"/>
      <c r="AX29" s="75" t="n"/>
      <c r="AY29" s="75" t="n"/>
      <c r="AZ29" s="75" t="n"/>
    </row>
    <row r="31" ht="22" customHeight="1">
      <c r="A31" s="33" t="inlineStr">
        <is>
          <t>【マイルストーン】 8/30：累計10件（10%）　│　9/6：累計30件（30%）　│　9/13：累計55件（55%）　│　9/20：累計80件（80%）　│　9/27：累計100件（100%）＝引き継ぎ完了期限　│　9/30：10月開始判定</t>
        </is>
      </c>
      <c r="B31" s="76" t="n"/>
      <c r="C31" s="76" t="n"/>
      <c r="D31" s="76" t="n"/>
      <c r="E31" s="76" t="n"/>
      <c r="F31" s="76" t="n"/>
      <c r="G31" s="76" t="n"/>
      <c r="H31" s="76" t="n"/>
      <c r="I31" s="76" t="n"/>
      <c r="J31" s="76" t="n"/>
      <c r="K31" s="76" t="n"/>
      <c r="L31" s="76" t="n"/>
      <c r="M31" s="76" t="n"/>
      <c r="N31" s="76" t="n"/>
      <c r="O31" s="76" t="n"/>
      <c r="P31" s="76" t="n"/>
      <c r="Q31" s="76" t="n"/>
      <c r="R31" s="76" t="n"/>
      <c r="S31" s="76" t="n"/>
      <c r="T31" s="76" t="n"/>
      <c r="U31" s="76" t="n"/>
      <c r="V31" s="76" t="n"/>
      <c r="W31" s="76" t="n"/>
      <c r="X31" s="76" t="n"/>
      <c r="Y31" s="76" t="n"/>
      <c r="Z31" s="76" t="n"/>
      <c r="AA31" s="76" t="n"/>
      <c r="AB31" s="76" t="n"/>
      <c r="AC31" s="76" t="n"/>
      <c r="AD31" s="76" t="n"/>
      <c r="AE31" s="76" t="n"/>
      <c r="AF31" s="76" t="n"/>
      <c r="AG31" s="76" t="n"/>
      <c r="AH31" s="76" t="n"/>
      <c r="AI31" s="76" t="n"/>
      <c r="AJ31" s="76" t="n"/>
      <c r="AK31" s="76" t="n"/>
      <c r="AL31" s="76" t="n"/>
      <c r="AM31" s="76" t="n"/>
      <c r="AN31" s="76" t="n"/>
    </row>
    <row r="32" ht="22" customHeight="1">
      <c r="A32" s="31" t="inlineStr">
        <is>
          <t>【重要】 9/28～9/30 は新規引き継ぎを行わないバッファ期間です。9/27時点で100件未完了の場合、10月1日の完全移行は「リスクあり」と判定します。</t>
        </is>
      </c>
      <c r="B32" s="77" t="n"/>
      <c r="C32" s="77" t="n"/>
      <c r="D32" s="77" t="n"/>
      <c r="E32" s="77" t="n"/>
      <c r="F32" s="77" t="n"/>
      <c r="G32" s="77" t="n"/>
      <c r="H32" s="77" t="n"/>
      <c r="I32" s="77" t="n"/>
      <c r="J32" s="77" t="n"/>
      <c r="K32" s="77" t="n"/>
      <c r="L32" s="77" t="n"/>
      <c r="M32" s="77" t="n"/>
      <c r="N32" s="77" t="n"/>
      <c r="O32" s="77" t="n"/>
      <c r="P32" s="77" t="n"/>
      <c r="Q32" s="77" t="n"/>
      <c r="R32" s="77" t="n"/>
      <c r="S32" s="77" t="n"/>
      <c r="T32" s="77" t="n"/>
      <c r="U32" s="77" t="n"/>
      <c r="V32" s="77" t="n"/>
      <c r="W32" s="77" t="n"/>
      <c r="X32" s="77" t="n"/>
      <c r="Y32" s="77" t="n"/>
      <c r="Z32" s="77" t="n"/>
      <c r="AA32" s="77" t="n"/>
      <c r="AB32" s="77" t="n"/>
      <c r="AC32" s="77" t="n"/>
      <c r="AD32" s="77" t="n"/>
      <c r="AE32" s="77" t="n"/>
      <c r="AF32" s="77" t="n"/>
      <c r="AG32" s="77" t="n"/>
      <c r="AH32" s="77" t="n"/>
      <c r="AI32" s="77" t="n"/>
      <c r="AJ32" s="77" t="n"/>
      <c r="AK32" s="77" t="n"/>
      <c r="AL32" s="77" t="n"/>
      <c r="AM32" s="77" t="n"/>
      <c r="AN32" s="77" t="n"/>
    </row>
    <row r="33" ht="22" customHeight="1">
      <c r="A33" s="35" t="inlineStr">
        <is>
          <t>【凡例】 色付きバー＝計画期間（計画値）　／　薄い黄色セル＝手入力（進捗率）　／　グレーの列＝土日　／　ゴールドの縦線＝2026/10/1 完全運用開始</t>
        </is>
      </c>
      <c r="B33" s="78" t="n"/>
      <c r="C33" s="78" t="n"/>
      <c r="D33" s="78" t="n"/>
      <c r="E33" s="78" t="n"/>
      <c r="F33" s="78" t="n"/>
      <c r="G33" s="78" t="n"/>
      <c r="H33" s="78" t="n"/>
      <c r="I33" s="78" t="n"/>
      <c r="J33" s="78" t="n"/>
      <c r="K33" s="78" t="n"/>
      <c r="L33" s="78" t="n"/>
      <c r="M33" s="78" t="n"/>
      <c r="N33" s="78" t="n"/>
      <c r="O33" s="78" t="n"/>
      <c r="P33" s="78" t="n"/>
      <c r="Q33" s="78" t="n"/>
      <c r="R33" s="78" t="n"/>
      <c r="S33" s="78" t="n"/>
      <c r="T33" s="78" t="n"/>
      <c r="U33" s="78" t="n"/>
      <c r="V33" s="78" t="n"/>
      <c r="W33" s="78" t="n"/>
      <c r="X33" s="78" t="n"/>
      <c r="Y33" s="78" t="n"/>
      <c r="Z33" s="78" t="n"/>
      <c r="AA33" s="78" t="n"/>
      <c r="AB33" s="78" t="n"/>
      <c r="AC33" s="78" t="n"/>
      <c r="AD33" s="78" t="n"/>
      <c r="AE33" s="78" t="n"/>
      <c r="AF33" s="78" t="n"/>
      <c r="AG33" s="78" t="n"/>
      <c r="AH33" s="78" t="n"/>
      <c r="AI33" s="78" t="n"/>
      <c r="AJ33" s="78" t="n"/>
      <c r="AK33" s="78" t="n"/>
      <c r="AL33" s="78" t="n"/>
      <c r="AM33" s="78" t="n"/>
      <c r="AN33" s="78" t="n"/>
    </row>
  </sheetData>
  <mergeCells count="28">
    <mergeCell ref="AQ5:AW5"/>
    <mergeCell ref="AJ5:AP5"/>
    <mergeCell ref="A3:AZ3"/>
    <mergeCell ref="A4:G4"/>
    <mergeCell ref="A33:AN33"/>
    <mergeCell ref="A2:AZ2"/>
    <mergeCell ref="A6:A7"/>
    <mergeCell ref="A32:AN32"/>
    <mergeCell ref="H5:N5"/>
    <mergeCell ref="G6:G7"/>
    <mergeCell ref="E6:E7"/>
    <mergeCell ref="B6:B7"/>
    <mergeCell ref="I4:N4"/>
    <mergeCell ref="V5:AB5"/>
    <mergeCell ref="A31:AN31"/>
    <mergeCell ref="AX5:AZ5"/>
    <mergeCell ref="AD4:AI4"/>
    <mergeCell ref="W4:AB4"/>
    <mergeCell ref="O5:U5"/>
    <mergeCell ref="P4:U4"/>
    <mergeCell ref="AC5:AI5"/>
    <mergeCell ref="A1:AZ1"/>
    <mergeCell ref="AT4:AZ4"/>
    <mergeCell ref="AK4:AP4"/>
    <mergeCell ref="C6:C7"/>
    <mergeCell ref="D6:D7"/>
    <mergeCell ref="F6:F7"/>
    <mergeCell ref="A5:G5"/>
  </mergeCells>
  <conditionalFormatting sqref="G8:G29">
    <cfRule type="dataBar" priority="1">
      <dataBar>
        <cfvo type="num" val="0"/>
        <cfvo type="num" val="1"/>
        <color rgb="002E75B6"/>
      </dataBar>
    </cfRule>
  </conditionalFormatting>
  <conditionalFormatting sqref="B8:B29">
    <cfRule type="expression" priority="2" dxfId="7">
      <formula>$G8=1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R10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1" customWidth="1" min="3" max="3"/>
    <col width="13" customWidth="1" min="4" max="4"/>
    <col width="11" customWidth="1" min="5" max="5"/>
    <col width="15" customWidth="1" min="6" max="6"/>
    <col width="17" customWidth="1" min="7" max="7"/>
    <col width="13" customWidth="1" min="8" max="8"/>
    <col width="10" customWidth="1" min="9" max="9"/>
    <col width="10" customWidth="1" min="10" max="10"/>
    <col width="10" customWidth="1" min="11" max="11"/>
    <col width="10" customWidth="1" min="12" max="12"/>
    <col width="9" customWidth="1" min="13" max="13"/>
    <col width="12" customWidth="1" min="14" max="14"/>
    <col width="11" customWidth="1" min="15" max="15"/>
    <col width="13" customWidth="1" min="16" max="16"/>
    <col width="26" customWidth="1" min="17" max="17"/>
    <col width="26" customWidth="1" min="18" max="18"/>
  </cols>
  <sheetData>
    <row r="1" ht="34" customHeight="1">
      <c r="A1" s="1" t="inlineStr">
        <is>
          <t>案件進捗管理（給与計算100案件）</t>
        </is>
      </c>
      <c r="B1" s="2" t="n"/>
      <c r="C1" s="2" t="n"/>
      <c r="D1" s="2" t="n"/>
      <c r="E1" s="2" t="n"/>
      <c r="F1" s="2" t="n"/>
      <c r="G1" s="2" t="n"/>
      <c r="H1" s="2" t="n"/>
      <c r="I1" s="2" t="n"/>
      <c r="J1" s="2" t="n"/>
      <c r="K1" s="2" t="n"/>
      <c r="L1" s="2" t="n"/>
      <c r="M1" s="2" t="n"/>
      <c r="N1" s="2" t="n"/>
      <c r="O1" s="2" t="n"/>
      <c r="P1" s="2" t="n"/>
      <c r="Q1" s="2" t="n"/>
      <c r="R1" s="2" t="n"/>
    </row>
    <row r="2" ht="20" customHeight="1">
      <c r="A2" s="3" t="inlineStr">
        <is>
          <t>「引き継ぎ完了」＝①業務内容理解 ②勤怠情報取得可能 ③給与計算可能 ④チェックリスト更新可能 ⑤顧客対応方法理解 ⑥納品方法理解 ⑦進捗管理更新可能 ⑧担当者確定　のすべてを満たした状態。説明を受けただけの状態は「完了」ではありません。</t>
        </is>
      </c>
      <c r="B2" s="4" t="n"/>
      <c r="C2" s="4" t="n"/>
      <c r="D2" s="4" t="n"/>
      <c r="E2" s="4" t="n"/>
      <c r="F2" s="4" t="n"/>
      <c r="G2" s="4" t="n"/>
      <c r="H2" s="4" t="n"/>
      <c r="I2" s="4" t="n"/>
      <c r="J2" s="4" t="n"/>
      <c r="K2" s="4" t="n"/>
      <c r="L2" s="4" t="n"/>
      <c r="M2" s="4" t="n"/>
      <c r="N2" s="4" t="n"/>
      <c r="O2" s="4" t="n"/>
      <c r="P2" s="4" t="n"/>
      <c r="Q2" s="4" t="n"/>
      <c r="R2" s="4" t="n"/>
    </row>
    <row r="3" ht="18" customHeight="1">
      <c r="A3" s="5" t="inlineStr">
        <is>
          <t>※顧客名は仮名称（案件001～案件100）です。実顧客名に置き換えてご利用ください。　チェック列は Google スプレッドシートで I6:N105 を選択 →［挿入］→［チェックボックス］でチェックボックス化できます。</t>
        </is>
      </c>
    </row>
    <row r="4" ht="42" customHeight="1">
      <c r="A4" s="50" t="inlineStr">
        <is>
          <t>No.</t>
        </is>
      </c>
      <c r="B4" s="50" t="inlineStr">
        <is>
          <t>顧客名</t>
        </is>
      </c>
      <c r="C4" s="50" t="inlineStr">
        <is>
          <t>担当者</t>
        </is>
      </c>
      <c r="D4" s="50" t="inlineStr">
        <is>
          <t>バックアップ担当</t>
        </is>
      </c>
      <c r="E4" s="50" t="inlineStr">
        <is>
          <t>難易度</t>
        </is>
      </c>
      <c r="F4" s="50" t="inlineStr">
        <is>
          <t>給与計算ソフト</t>
        </is>
      </c>
      <c r="G4" s="50" t="inlineStr">
        <is>
          <t>勤怠取得方法</t>
        </is>
      </c>
      <c r="H4" s="50" t="inlineStr">
        <is>
          <t>チェックリスト形式</t>
        </is>
      </c>
      <c r="I4" s="50" t="inlineStr">
        <is>
          <t>業務レクチャー</t>
        </is>
      </c>
      <c r="J4" s="50" t="inlineStr">
        <is>
          <t>勤怠取得確認</t>
        </is>
      </c>
      <c r="K4" s="50" t="inlineStr">
        <is>
          <t>給与計算確認</t>
        </is>
      </c>
      <c r="L4" s="50" t="inlineStr">
        <is>
          <t>顧客対応確認</t>
        </is>
      </c>
      <c r="M4" s="50" t="inlineStr">
        <is>
          <t>納品確認</t>
        </is>
      </c>
      <c r="N4" s="50" t="inlineStr">
        <is>
          <t>進捗表更新確認</t>
        </is>
      </c>
      <c r="O4" s="50" t="inlineStr">
        <is>
          <t>単独運用可否</t>
        </is>
      </c>
      <c r="P4" s="50" t="inlineStr">
        <is>
          <t>引き継ぎ完了日</t>
        </is>
      </c>
      <c r="Q4" s="50" t="inlineStr">
        <is>
          <t>課題</t>
        </is>
      </c>
      <c r="R4" s="50" t="inlineStr">
        <is>
          <t>備考</t>
        </is>
      </c>
    </row>
    <row r="5" ht="22" customHeight="1">
      <c r="A5" s="79" t="inlineStr">
        <is>
          <t>例</t>
        </is>
      </c>
      <c r="B5" s="80" t="inlineStr">
        <is>
          <t>（記入例）株式会社サンプル</t>
        </is>
      </c>
      <c r="C5" s="81" t="inlineStr">
        <is>
          <t>山田</t>
        </is>
      </c>
      <c r="D5" s="81" t="inlineStr">
        <is>
          <t>佐藤</t>
        </is>
      </c>
      <c r="E5" s="81" t="inlineStr">
        <is>
          <t>B：中程度</t>
        </is>
      </c>
      <c r="F5" s="81" t="inlineStr">
        <is>
          <t>セルズ給与</t>
        </is>
      </c>
      <c r="G5" s="81" t="inlineStr">
        <is>
          <t>KING OF TIME</t>
        </is>
      </c>
      <c r="H5" s="81" t="inlineStr">
        <is>
          <t>Excel</t>
        </is>
      </c>
      <c r="I5" s="81" t="b">
        <v>1</v>
      </c>
      <c r="J5" s="81" t="b">
        <v>1</v>
      </c>
      <c r="K5" s="81" t="b">
        <v>1</v>
      </c>
      <c r="L5" s="81" t="b">
        <v>0</v>
      </c>
      <c r="M5" s="81" t="b">
        <v>0</v>
      </c>
      <c r="N5" s="81" t="b">
        <v>0</v>
      </c>
      <c r="O5" s="81" t="inlineStr">
        <is>
          <t>条件付き</t>
        </is>
      </c>
      <c r="P5" s="82" t="n"/>
      <c r="Q5" s="80" t="inlineStr">
        <is>
          <t>賞与月の計算ルールが未確認</t>
        </is>
      </c>
      <c r="R5" s="80" t="inlineStr">
        <is>
          <t>毎月5日締／15日支給・従業員32名</t>
        </is>
      </c>
    </row>
    <row r="6" ht="19" customHeight="1">
      <c r="A6" s="83" t="n">
        <v>1</v>
      </c>
      <c r="B6" s="84" t="inlineStr">
        <is>
          <t>案件001</t>
        </is>
      </c>
      <c r="C6" s="85" t="n"/>
      <c r="D6" s="85" t="n"/>
      <c r="E6" s="85" t="n"/>
      <c r="F6" s="85" t="n"/>
      <c r="G6" s="85" t="n"/>
      <c r="H6" s="85" t="n"/>
      <c r="I6" s="85" t="b">
        <v>0</v>
      </c>
      <c r="J6" s="85" t="b">
        <v>0</v>
      </c>
      <c r="K6" s="85" t="b">
        <v>0</v>
      </c>
      <c r="L6" s="85" t="b">
        <v>0</v>
      </c>
      <c r="M6" s="85" t="b">
        <v>0</v>
      </c>
      <c r="N6" s="85" t="b">
        <v>0</v>
      </c>
      <c r="O6" s="85" t="n"/>
      <c r="P6" s="86" t="n"/>
      <c r="Q6" s="87" t="n"/>
      <c r="R6" s="87" t="n"/>
    </row>
    <row r="7" ht="19" customHeight="1">
      <c r="A7" s="83" t="n">
        <v>2</v>
      </c>
      <c r="B7" s="84" t="inlineStr">
        <is>
          <t>案件002</t>
        </is>
      </c>
      <c r="C7" s="88" t="n"/>
      <c r="D7" s="88" t="n"/>
      <c r="E7" s="88" t="n"/>
      <c r="F7" s="88" t="n"/>
      <c r="G7" s="88" t="n"/>
      <c r="H7" s="88" t="n"/>
      <c r="I7" s="88" t="b">
        <v>0</v>
      </c>
      <c r="J7" s="88" t="b">
        <v>0</v>
      </c>
      <c r="K7" s="88" t="b">
        <v>0</v>
      </c>
      <c r="L7" s="88" t="b">
        <v>0</v>
      </c>
      <c r="M7" s="88" t="b">
        <v>0</v>
      </c>
      <c r="N7" s="88" t="b">
        <v>0</v>
      </c>
      <c r="O7" s="88" t="n"/>
      <c r="P7" s="89" t="n"/>
      <c r="Q7" s="90" t="n"/>
      <c r="R7" s="90" t="n"/>
    </row>
    <row r="8" ht="19" customHeight="1">
      <c r="A8" s="83" t="n">
        <v>3</v>
      </c>
      <c r="B8" s="84" t="inlineStr">
        <is>
          <t>案件003</t>
        </is>
      </c>
      <c r="C8" s="85" t="n"/>
      <c r="D8" s="85" t="n"/>
      <c r="E8" s="85" t="n"/>
      <c r="F8" s="85" t="n"/>
      <c r="G8" s="85" t="n"/>
      <c r="H8" s="85" t="n"/>
      <c r="I8" s="85" t="b">
        <v>0</v>
      </c>
      <c r="J8" s="85" t="b">
        <v>0</v>
      </c>
      <c r="K8" s="85" t="b">
        <v>0</v>
      </c>
      <c r="L8" s="85" t="b">
        <v>0</v>
      </c>
      <c r="M8" s="85" t="b">
        <v>0</v>
      </c>
      <c r="N8" s="85" t="b">
        <v>0</v>
      </c>
      <c r="O8" s="85" t="n"/>
      <c r="P8" s="86" t="n"/>
      <c r="Q8" s="87" t="n"/>
      <c r="R8" s="87" t="n"/>
    </row>
    <row r="9" ht="19" customHeight="1">
      <c r="A9" s="83" t="n">
        <v>4</v>
      </c>
      <c r="B9" s="84" t="inlineStr">
        <is>
          <t>案件004</t>
        </is>
      </c>
      <c r="C9" s="88" t="n"/>
      <c r="D9" s="88" t="n"/>
      <c r="E9" s="88" t="n"/>
      <c r="F9" s="88" t="n"/>
      <c r="G9" s="88" t="n"/>
      <c r="H9" s="88" t="n"/>
      <c r="I9" s="88" t="b">
        <v>0</v>
      </c>
      <c r="J9" s="88" t="b">
        <v>0</v>
      </c>
      <c r="K9" s="88" t="b">
        <v>0</v>
      </c>
      <c r="L9" s="88" t="b">
        <v>0</v>
      </c>
      <c r="M9" s="88" t="b">
        <v>0</v>
      </c>
      <c r="N9" s="88" t="b">
        <v>0</v>
      </c>
      <c r="O9" s="88" t="n"/>
      <c r="P9" s="89" t="n"/>
      <c r="Q9" s="90" t="n"/>
      <c r="R9" s="90" t="n"/>
    </row>
    <row r="10" ht="19" customHeight="1">
      <c r="A10" s="83" t="n">
        <v>5</v>
      </c>
      <c r="B10" s="84" t="inlineStr">
        <is>
          <t>案件005</t>
        </is>
      </c>
      <c r="C10" s="85" t="n"/>
      <c r="D10" s="85" t="n"/>
      <c r="E10" s="85" t="n"/>
      <c r="F10" s="85" t="n"/>
      <c r="G10" s="85" t="n"/>
      <c r="H10" s="85" t="n"/>
      <c r="I10" s="85" t="b">
        <v>0</v>
      </c>
      <c r="J10" s="85" t="b">
        <v>0</v>
      </c>
      <c r="K10" s="85" t="b">
        <v>0</v>
      </c>
      <c r="L10" s="85" t="b">
        <v>0</v>
      </c>
      <c r="M10" s="85" t="b">
        <v>0</v>
      </c>
      <c r="N10" s="85" t="b">
        <v>0</v>
      </c>
      <c r="O10" s="85" t="n"/>
      <c r="P10" s="86" t="n"/>
      <c r="Q10" s="87" t="n"/>
      <c r="R10" s="87" t="n"/>
    </row>
    <row r="11" ht="19" customHeight="1">
      <c r="A11" s="83" t="n">
        <v>6</v>
      </c>
      <c r="B11" s="84" t="inlineStr">
        <is>
          <t>案件006</t>
        </is>
      </c>
      <c r="C11" s="88" t="n"/>
      <c r="D11" s="88" t="n"/>
      <c r="E11" s="88" t="n"/>
      <c r="F11" s="88" t="n"/>
      <c r="G11" s="88" t="n"/>
      <c r="H11" s="88" t="n"/>
      <c r="I11" s="88" t="b">
        <v>0</v>
      </c>
      <c r="J11" s="88" t="b">
        <v>0</v>
      </c>
      <c r="K11" s="88" t="b">
        <v>0</v>
      </c>
      <c r="L11" s="88" t="b">
        <v>0</v>
      </c>
      <c r="M11" s="88" t="b">
        <v>0</v>
      </c>
      <c r="N11" s="88" t="b">
        <v>0</v>
      </c>
      <c r="O11" s="88" t="n"/>
      <c r="P11" s="89" t="n"/>
      <c r="Q11" s="90" t="n"/>
      <c r="R11" s="90" t="n"/>
    </row>
    <row r="12" ht="19" customHeight="1">
      <c r="A12" s="83" t="n">
        <v>7</v>
      </c>
      <c r="B12" s="84" t="inlineStr">
        <is>
          <t>案件007</t>
        </is>
      </c>
      <c r="C12" s="85" t="n"/>
      <c r="D12" s="85" t="n"/>
      <c r="E12" s="85" t="n"/>
      <c r="F12" s="85" t="n"/>
      <c r="G12" s="85" t="n"/>
      <c r="H12" s="85" t="n"/>
      <c r="I12" s="85" t="b">
        <v>0</v>
      </c>
      <c r="J12" s="85" t="b">
        <v>0</v>
      </c>
      <c r="K12" s="85" t="b">
        <v>0</v>
      </c>
      <c r="L12" s="85" t="b">
        <v>0</v>
      </c>
      <c r="M12" s="85" t="b">
        <v>0</v>
      </c>
      <c r="N12" s="85" t="b">
        <v>0</v>
      </c>
      <c r="O12" s="85" t="n"/>
      <c r="P12" s="86" t="n"/>
      <c r="Q12" s="87" t="n"/>
      <c r="R12" s="87" t="n"/>
    </row>
    <row r="13" ht="19" customHeight="1">
      <c r="A13" s="83" t="n">
        <v>8</v>
      </c>
      <c r="B13" s="84" t="inlineStr">
        <is>
          <t>案件008</t>
        </is>
      </c>
      <c r="C13" s="88" t="n"/>
      <c r="D13" s="88" t="n"/>
      <c r="E13" s="88" t="n"/>
      <c r="F13" s="88" t="n"/>
      <c r="G13" s="88" t="n"/>
      <c r="H13" s="88" t="n"/>
      <c r="I13" s="88" t="b">
        <v>0</v>
      </c>
      <c r="J13" s="88" t="b">
        <v>0</v>
      </c>
      <c r="K13" s="88" t="b">
        <v>0</v>
      </c>
      <c r="L13" s="88" t="b">
        <v>0</v>
      </c>
      <c r="M13" s="88" t="b">
        <v>0</v>
      </c>
      <c r="N13" s="88" t="b">
        <v>0</v>
      </c>
      <c r="O13" s="88" t="n"/>
      <c r="P13" s="89" t="n"/>
      <c r="Q13" s="90" t="n"/>
      <c r="R13" s="90" t="n"/>
    </row>
    <row r="14" ht="19" customHeight="1">
      <c r="A14" s="83" t="n">
        <v>9</v>
      </c>
      <c r="B14" s="84" t="inlineStr">
        <is>
          <t>案件009</t>
        </is>
      </c>
      <c r="C14" s="85" t="n"/>
      <c r="D14" s="85" t="n"/>
      <c r="E14" s="85" t="n"/>
      <c r="F14" s="85" t="n"/>
      <c r="G14" s="85" t="n"/>
      <c r="H14" s="85" t="n"/>
      <c r="I14" s="85" t="b">
        <v>0</v>
      </c>
      <c r="J14" s="85" t="b">
        <v>0</v>
      </c>
      <c r="K14" s="85" t="b">
        <v>0</v>
      </c>
      <c r="L14" s="85" t="b">
        <v>0</v>
      </c>
      <c r="M14" s="85" t="b">
        <v>0</v>
      </c>
      <c r="N14" s="85" t="b">
        <v>0</v>
      </c>
      <c r="O14" s="85" t="n"/>
      <c r="P14" s="86" t="n"/>
      <c r="Q14" s="87" t="n"/>
      <c r="R14" s="87" t="n"/>
    </row>
    <row r="15" ht="19" customHeight="1">
      <c r="A15" s="83" t="n">
        <v>10</v>
      </c>
      <c r="B15" s="84" t="inlineStr">
        <is>
          <t>案件010</t>
        </is>
      </c>
      <c r="C15" s="88" t="n"/>
      <c r="D15" s="88" t="n"/>
      <c r="E15" s="88" t="n"/>
      <c r="F15" s="88" t="n"/>
      <c r="G15" s="88" t="n"/>
      <c r="H15" s="88" t="n"/>
      <c r="I15" s="88" t="b">
        <v>0</v>
      </c>
      <c r="J15" s="88" t="b">
        <v>0</v>
      </c>
      <c r="K15" s="88" t="b">
        <v>0</v>
      </c>
      <c r="L15" s="88" t="b">
        <v>0</v>
      </c>
      <c r="M15" s="88" t="b">
        <v>0</v>
      </c>
      <c r="N15" s="88" t="b">
        <v>0</v>
      </c>
      <c r="O15" s="88" t="n"/>
      <c r="P15" s="89" t="n"/>
      <c r="Q15" s="90" t="n"/>
      <c r="R15" s="90" t="n"/>
    </row>
    <row r="16" ht="19" customHeight="1">
      <c r="A16" s="83" t="n">
        <v>11</v>
      </c>
      <c r="B16" s="84" t="inlineStr">
        <is>
          <t>案件011</t>
        </is>
      </c>
      <c r="C16" s="85" t="n"/>
      <c r="D16" s="85" t="n"/>
      <c r="E16" s="85" t="n"/>
      <c r="F16" s="85" t="n"/>
      <c r="G16" s="85" t="n"/>
      <c r="H16" s="85" t="n"/>
      <c r="I16" s="85" t="b">
        <v>0</v>
      </c>
      <c r="J16" s="85" t="b">
        <v>0</v>
      </c>
      <c r="K16" s="85" t="b">
        <v>0</v>
      </c>
      <c r="L16" s="85" t="b">
        <v>0</v>
      </c>
      <c r="M16" s="85" t="b">
        <v>0</v>
      </c>
      <c r="N16" s="85" t="b">
        <v>0</v>
      </c>
      <c r="O16" s="85" t="n"/>
      <c r="P16" s="86" t="n"/>
      <c r="Q16" s="87" t="n"/>
      <c r="R16" s="87" t="n"/>
    </row>
    <row r="17" ht="19" customHeight="1">
      <c r="A17" s="83" t="n">
        <v>12</v>
      </c>
      <c r="B17" s="84" t="inlineStr">
        <is>
          <t>案件012</t>
        </is>
      </c>
      <c r="C17" s="88" t="n"/>
      <c r="D17" s="88" t="n"/>
      <c r="E17" s="88" t="n"/>
      <c r="F17" s="88" t="n"/>
      <c r="G17" s="88" t="n"/>
      <c r="H17" s="88" t="n"/>
      <c r="I17" s="88" t="b">
        <v>0</v>
      </c>
      <c r="J17" s="88" t="b">
        <v>0</v>
      </c>
      <c r="K17" s="88" t="b">
        <v>0</v>
      </c>
      <c r="L17" s="88" t="b">
        <v>0</v>
      </c>
      <c r="M17" s="88" t="b">
        <v>0</v>
      </c>
      <c r="N17" s="88" t="b">
        <v>0</v>
      </c>
      <c r="O17" s="88" t="n"/>
      <c r="P17" s="89" t="n"/>
      <c r="Q17" s="90" t="n"/>
      <c r="R17" s="90" t="n"/>
    </row>
    <row r="18" ht="19" customHeight="1">
      <c r="A18" s="83" t="n">
        <v>13</v>
      </c>
      <c r="B18" s="84" t="inlineStr">
        <is>
          <t>案件013</t>
        </is>
      </c>
      <c r="C18" s="85" t="n"/>
      <c r="D18" s="85" t="n"/>
      <c r="E18" s="85" t="n"/>
      <c r="F18" s="85" t="n"/>
      <c r="G18" s="85" t="n"/>
      <c r="H18" s="85" t="n"/>
      <c r="I18" s="85" t="b">
        <v>0</v>
      </c>
      <c r="J18" s="85" t="b">
        <v>0</v>
      </c>
      <c r="K18" s="85" t="b">
        <v>0</v>
      </c>
      <c r="L18" s="85" t="b">
        <v>0</v>
      </c>
      <c r="M18" s="85" t="b">
        <v>0</v>
      </c>
      <c r="N18" s="85" t="b">
        <v>0</v>
      </c>
      <c r="O18" s="85" t="n"/>
      <c r="P18" s="86" t="n"/>
      <c r="Q18" s="87" t="n"/>
      <c r="R18" s="87" t="n"/>
    </row>
    <row r="19" ht="19" customHeight="1">
      <c r="A19" s="83" t="n">
        <v>14</v>
      </c>
      <c r="B19" s="84" t="inlineStr">
        <is>
          <t>案件014</t>
        </is>
      </c>
      <c r="C19" s="88" t="n"/>
      <c r="D19" s="88" t="n"/>
      <c r="E19" s="88" t="n"/>
      <c r="F19" s="88" t="n"/>
      <c r="G19" s="88" t="n"/>
      <c r="H19" s="88" t="n"/>
      <c r="I19" s="88" t="b">
        <v>0</v>
      </c>
      <c r="J19" s="88" t="b">
        <v>0</v>
      </c>
      <c r="K19" s="88" t="b">
        <v>0</v>
      </c>
      <c r="L19" s="88" t="b">
        <v>0</v>
      </c>
      <c r="M19" s="88" t="b">
        <v>0</v>
      </c>
      <c r="N19" s="88" t="b">
        <v>0</v>
      </c>
      <c r="O19" s="88" t="n"/>
      <c r="P19" s="89" t="n"/>
      <c r="Q19" s="90" t="n"/>
      <c r="R19" s="90" t="n"/>
    </row>
    <row r="20" ht="19" customHeight="1">
      <c r="A20" s="83" t="n">
        <v>15</v>
      </c>
      <c r="B20" s="84" t="inlineStr">
        <is>
          <t>案件015</t>
        </is>
      </c>
      <c r="C20" s="85" t="n"/>
      <c r="D20" s="85" t="n"/>
      <c r="E20" s="85" t="n"/>
      <c r="F20" s="85" t="n"/>
      <c r="G20" s="85" t="n"/>
      <c r="H20" s="85" t="n"/>
      <c r="I20" s="85" t="b">
        <v>0</v>
      </c>
      <c r="J20" s="85" t="b">
        <v>0</v>
      </c>
      <c r="K20" s="85" t="b">
        <v>0</v>
      </c>
      <c r="L20" s="85" t="b">
        <v>0</v>
      </c>
      <c r="M20" s="85" t="b">
        <v>0</v>
      </c>
      <c r="N20" s="85" t="b">
        <v>0</v>
      </c>
      <c r="O20" s="85" t="n"/>
      <c r="P20" s="86" t="n"/>
      <c r="Q20" s="87" t="n"/>
      <c r="R20" s="87" t="n"/>
    </row>
    <row r="21" ht="19" customHeight="1">
      <c r="A21" s="83" t="n">
        <v>16</v>
      </c>
      <c r="B21" s="84" t="inlineStr">
        <is>
          <t>案件016</t>
        </is>
      </c>
      <c r="C21" s="88" t="n"/>
      <c r="D21" s="88" t="n"/>
      <c r="E21" s="88" t="n"/>
      <c r="F21" s="88" t="n"/>
      <c r="G21" s="88" t="n"/>
      <c r="H21" s="88" t="n"/>
      <c r="I21" s="88" t="b">
        <v>0</v>
      </c>
      <c r="J21" s="88" t="b">
        <v>0</v>
      </c>
      <c r="K21" s="88" t="b">
        <v>0</v>
      </c>
      <c r="L21" s="88" t="b">
        <v>0</v>
      </c>
      <c r="M21" s="88" t="b">
        <v>0</v>
      </c>
      <c r="N21" s="88" t="b">
        <v>0</v>
      </c>
      <c r="O21" s="88" t="n"/>
      <c r="P21" s="89" t="n"/>
      <c r="Q21" s="90" t="n"/>
      <c r="R21" s="90" t="n"/>
    </row>
    <row r="22" ht="19" customHeight="1">
      <c r="A22" s="83" t="n">
        <v>17</v>
      </c>
      <c r="B22" s="84" t="inlineStr">
        <is>
          <t>案件017</t>
        </is>
      </c>
      <c r="C22" s="85" t="n"/>
      <c r="D22" s="85" t="n"/>
      <c r="E22" s="85" t="n"/>
      <c r="F22" s="85" t="n"/>
      <c r="G22" s="85" t="n"/>
      <c r="H22" s="85" t="n"/>
      <c r="I22" s="85" t="b">
        <v>0</v>
      </c>
      <c r="J22" s="85" t="b">
        <v>0</v>
      </c>
      <c r="K22" s="85" t="b">
        <v>0</v>
      </c>
      <c r="L22" s="85" t="b">
        <v>0</v>
      </c>
      <c r="M22" s="85" t="b">
        <v>0</v>
      </c>
      <c r="N22" s="85" t="b">
        <v>0</v>
      </c>
      <c r="O22" s="85" t="n"/>
      <c r="P22" s="86" t="n"/>
      <c r="Q22" s="87" t="n"/>
      <c r="R22" s="87" t="n"/>
    </row>
    <row r="23" ht="19" customHeight="1">
      <c r="A23" s="83" t="n">
        <v>18</v>
      </c>
      <c r="B23" s="84" t="inlineStr">
        <is>
          <t>案件018</t>
        </is>
      </c>
      <c r="C23" s="88" t="n"/>
      <c r="D23" s="88" t="n"/>
      <c r="E23" s="88" t="n"/>
      <c r="F23" s="88" t="n"/>
      <c r="G23" s="88" t="n"/>
      <c r="H23" s="88" t="n"/>
      <c r="I23" s="88" t="b">
        <v>0</v>
      </c>
      <c r="J23" s="88" t="b">
        <v>0</v>
      </c>
      <c r="K23" s="88" t="b">
        <v>0</v>
      </c>
      <c r="L23" s="88" t="b">
        <v>0</v>
      </c>
      <c r="M23" s="88" t="b">
        <v>0</v>
      </c>
      <c r="N23" s="88" t="b">
        <v>0</v>
      </c>
      <c r="O23" s="88" t="n"/>
      <c r="P23" s="89" t="n"/>
      <c r="Q23" s="90" t="n"/>
      <c r="R23" s="90" t="n"/>
    </row>
    <row r="24" ht="19" customHeight="1">
      <c r="A24" s="83" t="n">
        <v>19</v>
      </c>
      <c r="B24" s="84" t="inlineStr">
        <is>
          <t>案件019</t>
        </is>
      </c>
      <c r="C24" s="85" t="n"/>
      <c r="D24" s="85" t="n"/>
      <c r="E24" s="85" t="n"/>
      <c r="F24" s="85" t="n"/>
      <c r="G24" s="85" t="n"/>
      <c r="H24" s="85" t="n"/>
      <c r="I24" s="85" t="b">
        <v>0</v>
      </c>
      <c r="J24" s="85" t="b">
        <v>0</v>
      </c>
      <c r="K24" s="85" t="b">
        <v>0</v>
      </c>
      <c r="L24" s="85" t="b">
        <v>0</v>
      </c>
      <c r="M24" s="85" t="b">
        <v>0</v>
      </c>
      <c r="N24" s="85" t="b">
        <v>0</v>
      </c>
      <c r="O24" s="85" t="n"/>
      <c r="P24" s="86" t="n"/>
      <c r="Q24" s="87" t="n"/>
      <c r="R24" s="87" t="n"/>
    </row>
    <row r="25" ht="19" customHeight="1">
      <c r="A25" s="83" t="n">
        <v>20</v>
      </c>
      <c r="B25" s="84" t="inlineStr">
        <is>
          <t>案件020</t>
        </is>
      </c>
      <c r="C25" s="88" t="n"/>
      <c r="D25" s="88" t="n"/>
      <c r="E25" s="88" t="n"/>
      <c r="F25" s="88" t="n"/>
      <c r="G25" s="88" t="n"/>
      <c r="H25" s="88" t="n"/>
      <c r="I25" s="88" t="b">
        <v>0</v>
      </c>
      <c r="J25" s="88" t="b">
        <v>0</v>
      </c>
      <c r="K25" s="88" t="b">
        <v>0</v>
      </c>
      <c r="L25" s="88" t="b">
        <v>0</v>
      </c>
      <c r="M25" s="88" t="b">
        <v>0</v>
      </c>
      <c r="N25" s="88" t="b">
        <v>0</v>
      </c>
      <c r="O25" s="88" t="n"/>
      <c r="P25" s="89" t="n"/>
      <c r="Q25" s="90" t="n"/>
      <c r="R25" s="90" t="n"/>
    </row>
    <row r="26" ht="19" customHeight="1">
      <c r="A26" s="83" t="n">
        <v>21</v>
      </c>
      <c r="B26" s="84" t="inlineStr">
        <is>
          <t>案件021</t>
        </is>
      </c>
      <c r="C26" s="85" t="n"/>
      <c r="D26" s="85" t="n"/>
      <c r="E26" s="85" t="n"/>
      <c r="F26" s="85" t="n"/>
      <c r="G26" s="85" t="n"/>
      <c r="H26" s="85" t="n"/>
      <c r="I26" s="85" t="b">
        <v>0</v>
      </c>
      <c r="J26" s="85" t="b">
        <v>0</v>
      </c>
      <c r="K26" s="85" t="b">
        <v>0</v>
      </c>
      <c r="L26" s="85" t="b">
        <v>0</v>
      </c>
      <c r="M26" s="85" t="b">
        <v>0</v>
      </c>
      <c r="N26" s="85" t="b">
        <v>0</v>
      </c>
      <c r="O26" s="85" t="n"/>
      <c r="P26" s="86" t="n"/>
      <c r="Q26" s="87" t="n"/>
      <c r="R26" s="87" t="n"/>
    </row>
    <row r="27" ht="19" customHeight="1">
      <c r="A27" s="83" t="n">
        <v>22</v>
      </c>
      <c r="B27" s="84" t="inlineStr">
        <is>
          <t>案件022</t>
        </is>
      </c>
      <c r="C27" s="88" t="n"/>
      <c r="D27" s="88" t="n"/>
      <c r="E27" s="88" t="n"/>
      <c r="F27" s="88" t="n"/>
      <c r="G27" s="88" t="n"/>
      <c r="H27" s="88" t="n"/>
      <c r="I27" s="88" t="b">
        <v>0</v>
      </c>
      <c r="J27" s="88" t="b">
        <v>0</v>
      </c>
      <c r="K27" s="88" t="b">
        <v>0</v>
      </c>
      <c r="L27" s="88" t="b">
        <v>0</v>
      </c>
      <c r="M27" s="88" t="b">
        <v>0</v>
      </c>
      <c r="N27" s="88" t="b">
        <v>0</v>
      </c>
      <c r="O27" s="88" t="n"/>
      <c r="P27" s="89" t="n"/>
      <c r="Q27" s="90" t="n"/>
      <c r="R27" s="90" t="n"/>
    </row>
    <row r="28" ht="19" customHeight="1">
      <c r="A28" s="83" t="n">
        <v>23</v>
      </c>
      <c r="B28" s="84" t="inlineStr">
        <is>
          <t>案件023</t>
        </is>
      </c>
      <c r="C28" s="85" t="n"/>
      <c r="D28" s="85" t="n"/>
      <c r="E28" s="85" t="n"/>
      <c r="F28" s="85" t="n"/>
      <c r="G28" s="85" t="n"/>
      <c r="H28" s="85" t="n"/>
      <c r="I28" s="85" t="b">
        <v>0</v>
      </c>
      <c r="J28" s="85" t="b">
        <v>0</v>
      </c>
      <c r="K28" s="85" t="b">
        <v>0</v>
      </c>
      <c r="L28" s="85" t="b">
        <v>0</v>
      </c>
      <c r="M28" s="85" t="b">
        <v>0</v>
      </c>
      <c r="N28" s="85" t="b">
        <v>0</v>
      </c>
      <c r="O28" s="85" t="n"/>
      <c r="P28" s="86" t="n"/>
      <c r="Q28" s="87" t="n"/>
      <c r="R28" s="87" t="n"/>
    </row>
    <row r="29" ht="19" customHeight="1">
      <c r="A29" s="83" t="n">
        <v>24</v>
      </c>
      <c r="B29" s="84" t="inlineStr">
        <is>
          <t>案件024</t>
        </is>
      </c>
      <c r="C29" s="88" t="n"/>
      <c r="D29" s="88" t="n"/>
      <c r="E29" s="88" t="n"/>
      <c r="F29" s="88" t="n"/>
      <c r="G29" s="88" t="n"/>
      <c r="H29" s="88" t="n"/>
      <c r="I29" s="88" t="b">
        <v>0</v>
      </c>
      <c r="J29" s="88" t="b">
        <v>0</v>
      </c>
      <c r="K29" s="88" t="b">
        <v>0</v>
      </c>
      <c r="L29" s="88" t="b">
        <v>0</v>
      </c>
      <c r="M29" s="88" t="b">
        <v>0</v>
      </c>
      <c r="N29" s="88" t="b">
        <v>0</v>
      </c>
      <c r="O29" s="88" t="n"/>
      <c r="P29" s="89" t="n"/>
      <c r="Q29" s="90" t="n"/>
      <c r="R29" s="90" t="n"/>
    </row>
    <row r="30" ht="19" customHeight="1">
      <c r="A30" s="83" t="n">
        <v>25</v>
      </c>
      <c r="B30" s="84" t="inlineStr">
        <is>
          <t>案件025</t>
        </is>
      </c>
      <c r="C30" s="85" t="n"/>
      <c r="D30" s="85" t="n"/>
      <c r="E30" s="85" t="n"/>
      <c r="F30" s="85" t="n"/>
      <c r="G30" s="85" t="n"/>
      <c r="H30" s="85" t="n"/>
      <c r="I30" s="85" t="b">
        <v>0</v>
      </c>
      <c r="J30" s="85" t="b">
        <v>0</v>
      </c>
      <c r="K30" s="85" t="b">
        <v>0</v>
      </c>
      <c r="L30" s="85" t="b">
        <v>0</v>
      </c>
      <c r="M30" s="85" t="b">
        <v>0</v>
      </c>
      <c r="N30" s="85" t="b">
        <v>0</v>
      </c>
      <c r="O30" s="85" t="n"/>
      <c r="P30" s="86" t="n"/>
      <c r="Q30" s="87" t="n"/>
      <c r="R30" s="87" t="n"/>
    </row>
    <row r="31" ht="19" customHeight="1">
      <c r="A31" s="83" t="n">
        <v>26</v>
      </c>
      <c r="B31" s="84" t="inlineStr">
        <is>
          <t>案件026</t>
        </is>
      </c>
      <c r="C31" s="88" t="n"/>
      <c r="D31" s="88" t="n"/>
      <c r="E31" s="88" t="n"/>
      <c r="F31" s="88" t="n"/>
      <c r="G31" s="88" t="n"/>
      <c r="H31" s="88" t="n"/>
      <c r="I31" s="88" t="b">
        <v>0</v>
      </c>
      <c r="J31" s="88" t="b">
        <v>0</v>
      </c>
      <c r="K31" s="88" t="b">
        <v>0</v>
      </c>
      <c r="L31" s="88" t="b">
        <v>0</v>
      </c>
      <c r="M31" s="88" t="b">
        <v>0</v>
      </c>
      <c r="N31" s="88" t="b">
        <v>0</v>
      </c>
      <c r="O31" s="88" t="n"/>
      <c r="P31" s="89" t="n"/>
      <c r="Q31" s="90" t="n"/>
      <c r="R31" s="90" t="n"/>
    </row>
    <row r="32" ht="19" customHeight="1">
      <c r="A32" s="83" t="n">
        <v>27</v>
      </c>
      <c r="B32" s="84" t="inlineStr">
        <is>
          <t>案件027</t>
        </is>
      </c>
      <c r="C32" s="85" t="n"/>
      <c r="D32" s="85" t="n"/>
      <c r="E32" s="85" t="n"/>
      <c r="F32" s="85" t="n"/>
      <c r="G32" s="85" t="n"/>
      <c r="H32" s="85" t="n"/>
      <c r="I32" s="85" t="b">
        <v>0</v>
      </c>
      <c r="J32" s="85" t="b">
        <v>0</v>
      </c>
      <c r="K32" s="85" t="b">
        <v>0</v>
      </c>
      <c r="L32" s="85" t="b">
        <v>0</v>
      </c>
      <c r="M32" s="85" t="b">
        <v>0</v>
      </c>
      <c r="N32" s="85" t="b">
        <v>0</v>
      </c>
      <c r="O32" s="85" t="n"/>
      <c r="P32" s="86" t="n"/>
      <c r="Q32" s="87" t="n"/>
      <c r="R32" s="87" t="n"/>
    </row>
    <row r="33" ht="19" customHeight="1">
      <c r="A33" s="83" t="n">
        <v>28</v>
      </c>
      <c r="B33" s="84" t="inlineStr">
        <is>
          <t>案件028</t>
        </is>
      </c>
      <c r="C33" s="88" t="n"/>
      <c r="D33" s="88" t="n"/>
      <c r="E33" s="88" t="n"/>
      <c r="F33" s="88" t="n"/>
      <c r="G33" s="88" t="n"/>
      <c r="H33" s="88" t="n"/>
      <c r="I33" s="88" t="b">
        <v>0</v>
      </c>
      <c r="J33" s="88" t="b">
        <v>0</v>
      </c>
      <c r="K33" s="88" t="b">
        <v>0</v>
      </c>
      <c r="L33" s="88" t="b">
        <v>0</v>
      </c>
      <c r="M33" s="88" t="b">
        <v>0</v>
      </c>
      <c r="N33" s="88" t="b">
        <v>0</v>
      </c>
      <c r="O33" s="88" t="n"/>
      <c r="P33" s="89" t="n"/>
      <c r="Q33" s="90" t="n"/>
      <c r="R33" s="90" t="n"/>
    </row>
    <row r="34" ht="19" customHeight="1">
      <c r="A34" s="83" t="n">
        <v>29</v>
      </c>
      <c r="B34" s="84" t="inlineStr">
        <is>
          <t>案件029</t>
        </is>
      </c>
      <c r="C34" s="85" t="n"/>
      <c r="D34" s="85" t="n"/>
      <c r="E34" s="85" t="n"/>
      <c r="F34" s="85" t="n"/>
      <c r="G34" s="85" t="n"/>
      <c r="H34" s="85" t="n"/>
      <c r="I34" s="85" t="b">
        <v>0</v>
      </c>
      <c r="J34" s="85" t="b">
        <v>0</v>
      </c>
      <c r="K34" s="85" t="b">
        <v>0</v>
      </c>
      <c r="L34" s="85" t="b">
        <v>0</v>
      </c>
      <c r="M34" s="85" t="b">
        <v>0</v>
      </c>
      <c r="N34" s="85" t="b">
        <v>0</v>
      </c>
      <c r="O34" s="85" t="n"/>
      <c r="P34" s="86" t="n"/>
      <c r="Q34" s="87" t="n"/>
      <c r="R34" s="87" t="n"/>
    </row>
    <row r="35" ht="19" customHeight="1">
      <c r="A35" s="83" t="n">
        <v>30</v>
      </c>
      <c r="B35" s="84" t="inlineStr">
        <is>
          <t>案件030</t>
        </is>
      </c>
      <c r="C35" s="88" t="n"/>
      <c r="D35" s="88" t="n"/>
      <c r="E35" s="88" t="n"/>
      <c r="F35" s="88" t="n"/>
      <c r="G35" s="88" t="n"/>
      <c r="H35" s="88" t="n"/>
      <c r="I35" s="88" t="b">
        <v>0</v>
      </c>
      <c r="J35" s="88" t="b">
        <v>0</v>
      </c>
      <c r="K35" s="88" t="b">
        <v>0</v>
      </c>
      <c r="L35" s="88" t="b">
        <v>0</v>
      </c>
      <c r="M35" s="88" t="b">
        <v>0</v>
      </c>
      <c r="N35" s="88" t="b">
        <v>0</v>
      </c>
      <c r="O35" s="88" t="n"/>
      <c r="P35" s="89" t="n"/>
      <c r="Q35" s="90" t="n"/>
      <c r="R35" s="90" t="n"/>
    </row>
    <row r="36" ht="19" customHeight="1">
      <c r="A36" s="83" t="n">
        <v>31</v>
      </c>
      <c r="B36" s="84" t="inlineStr">
        <is>
          <t>案件031</t>
        </is>
      </c>
      <c r="C36" s="85" t="n"/>
      <c r="D36" s="85" t="n"/>
      <c r="E36" s="85" t="n"/>
      <c r="F36" s="85" t="n"/>
      <c r="G36" s="85" t="n"/>
      <c r="H36" s="85" t="n"/>
      <c r="I36" s="85" t="b">
        <v>0</v>
      </c>
      <c r="J36" s="85" t="b">
        <v>0</v>
      </c>
      <c r="K36" s="85" t="b">
        <v>0</v>
      </c>
      <c r="L36" s="85" t="b">
        <v>0</v>
      </c>
      <c r="M36" s="85" t="b">
        <v>0</v>
      </c>
      <c r="N36" s="85" t="b">
        <v>0</v>
      </c>
      <c r="O36" s="85" t="n"/>
      <c r="P36" s="86" t="n"/>
      <c r="Q36" s="87" t="n"/>
      <c r="R36" s="87" t="n"/>
    </row>
    <row r="37" ht="19" customHeight="1">
      <c r="A37" s="83" t="n">
        <v>32</v>
      </c>
      <c r="B37" s="84" t="inlineStr">
        <is>
          <t>案件032</t>
        </is>
      </c>
      <c r="C37" s="88" t="n"/>
      <c r="D37" s="88" t="n"/>
      <c r="E37" s="88" t="n"/>
      <c r="F37" s="88" t="n"/>
      <c r="G37" s="88" t="n"/>
      <c r="H37" s="88" t="n"/>
      <c r="I37" s="88" t="b">
        <v>0</v>
      </c>
      <c r="J37" s="88" t="b">
        <v>0</v>
      </c>
      <c r="K37" s="88" t="b">
        <v>0</v>
      </c>
      <c r="L37" s="88" t="b">
        <v>0</v>
      </c>
      <c r="M37" s="88" t="b">
        <v>0</v>
      </c>
      <c r="N37" s="88" t="b">
        <v>0</v>
      </c>
      <c r="O37" s="88" t="n"/>
      <c r="P37" s="89" t="n"/>
      <c r="Q37" s="90" t="n"/>
      <c r="R37" s="90" t="n"/>
    </row>
    <row r="38" ht="19" customHeight="1">
      <c r="A38" s="83" t="n">
        <v>33</v>
      </c>
      <c r="B38" s="84" t="inlineStr">
        <is>
          <t>案件033</t>
        </is>
      </c>
      <c r="C38" s="85" t="n"/>
      <c r="D38" s="85" t="n"/>
      <c r="E38" s="85" t="n"/>
      <c r="F38" s="85" t="n"/>
      <c r="G38" s="85" t="n"/>
      <c r="H38" s="85" t="n"/>
      <c r="I38" s="85" t="b">
        <v>0</v>
      </c>
      <c r="J38" s="85" t="b">
        <v>0</v>
      </c>
      <c r="K38" s="85" t="b">
        <v>0</v>
      </c>
      <c r="L38" s="85" t="b">
        <v>0</v>
      </c>
      <c r="M38" s="85" t="b">
        <v>0</v>
      </c>
      <c r="N38" s="85" t="b">
        <v>0</v>
      </c>
      <c r="O38" s="85" t="n"/>
      <c r="P38" s="86" t="n"/>
      <c r="Q38" s="87" t="n"/>
      <c r="R38" s="87" t="n"/>
    </row>
    <row r="39" ht="19" customHeight="1">
      <c r="A39" s="83" t="n">
        <v>34</v>
      </c>
      <c r="B39" s="84" t="inlineStr">
        <is>
          <t>案件034</t>
        </is>
      </c>
      <c r="C39" s="88" t="n"/>
      <c r="D39" s="88" t="n"/>
      <c r="E39" s="88" t="n"/>
      <c r="F39" s="88" t="n"/>
      <c r="G39" s="88" t="n"/>
      <c r="H39" s="88" t="n"/>
      <c r="I39" s="88" t="b">
        <v>0</v>
      </c>
      <c r="J39" s="88" t="b">
        <v>0</v>
      </c>
      <c r="K39" s="88" t="b">
        <v>0</v>
      </c>
      <c r="L39" s="88" t="b">
        <v>0</v>
      </c>
      <c r="M39" s="88" t="b">
        <v>0</v>
      </c>
      <c r="N39" s="88" t="b">
        <v>0</v>
      </c>
      <c r="O39" s="88" t="n"/>
      <c r="P39" s="89" t="n"/>
      <c r="Q39" s="90" t="n"/>
      <c r="R39" s="90" t="n"/>
    </row>
    <row r="40" ht="19" customHeight="1">
      <c r="A40" s="83" t="n">
        <v>35</v>
      </c>
      <c r="B40" s="84" t="inlineStr">
        <is>
          <t>案件035</t>
        </is>
      </c>
      <c r="C40" s="85" t="n"/>
      <c r="D40" s="85" t="n"/>
      <c r="E40" s="85" t="n"/>
      <c r="F40" s="85" t="n"/>
      <c r="G40" s="85" t="n"/>
      <c r="H40" s="85" t="n"/>
      <c r="I40" s="85" t="b">
        <v>0</v>
      </c>
      <c r="J40" s="85" t="b">
        <v>0</v>
      </c>
      <c r="K40" s="85" t="b">
        <v>0</v>
      </c>
      <c r="L40" s="85" t="b">
        <v>0</v>
      </c>
      <c r="M40" s="85" t="b">
        <v>0</v>
      </c>
      <c r="N40" s="85" t="b">
        <v>0</v>
      </c>
      <c r="O40" s="85" t="n"/>
      <c r="P40" s="86" t="n"/>
      <c r="Q40" s="87" t="n"/>
      <c r="R40" s="87" t="n"/>
    </row>
    <row r="41" ht="19" customHeight="1">
      <c r="A41" s="83" t="n">
        <v>36</v>
      </c>
      <c r="B41" s="84" t="inlineStr">
        <is>
          <t>案件036</t>
        </is>
      </c>
      <c r="C41" s="88" t="n"/>
      <c r="D41" s="88" t="n"/>
      <c r="E41" s="88" t="n"/>
      <c r="F41" s="88" t="n"/>
      <c r="G41" s="88" t="n"/>
      <c r="H41" s="88" t="n"/>
      <c r="I41" s="88" t="b">
        <v>0</v>
      </c>
      <c r="J41" s="88" t="b">
        <v>0</v>
      </c>
      <c r="K41" s="88" t="b">
        <v>0</v>
      </c>
      <c r="L41" s="88" t="b">
        <v>0</v>
      </c>
      <c r="M41" s="88" t="b">
        <v>0</v>
      </c>
      <c r="N41" s="88" t="b">
        <v>0</v>
      </c>
      <c r="O41" s="88" t="n"/>
      <c r="P41" s="89" t="n"/>
      <c r="Q41" s="90" t="n"/>
      <c r="R41" s="90" t="n"/>
    </row>
    <row r="42" ht="19" customHeight="1">
      <c r="A42" s="83" t="n">
        <v>37</v>
      </c>
      <c r="B42" s="84" t="inlineStr">
        <is>
          <t>案件037</t>
        </is>
      </c>
      <c r="C42" s="85" t="n"/>
      <c r="D42" s="85" t="n"/>
      <c r="E42" s="85" t="n"/>
      <c r="F42" s="85" t="n"/>
      <c r="G42" s="85" t="n"/>
      <c r="H42" s="85" t="n"/>
      <c r="I42" s="85" t="b">
        <v>0</v>
      </c>
      <c r="J42" s="85" t="b">
        <v>0</v>
      </c>
      <c r="K42" s="85" t="b">
        <v>0</v>
      </c>
      <c r="L42" s="85" t="b">
        <v>0</v>
      </c>
      <c r="M42" s="85" t="b">
        <v>0</v>
      </c>
      <c r="N42" s="85" t="b">
        <v>0</v>
      </c>
      <c r="O42" s="85" t="n"/>
      <c r="P42" s="86" t="n"/>
      <c r="Q42" s="87" t="n"/>
      <c r="R42" s="87" t="n"/>
    </row>
    <row r="43" ht="19" customHeight="1">
      <c r="A43" s="83" t="n">
        <v>38</v>
      </c>
      <c r="B43" s="84" t="inlineStr">
        <is>
          <t>案件038</t>
        </is>
      </c>
      <c r="C43" s="88" t="n"/>
      <c r="D43" s="88" t="n"/>
      <c r="E43" s="88" t="n"/>
      <c r="F43" s="88" t="n"/>
      <c r="G43" s="88" t="n"/>
      <c r="H43" s="88" t="n"/>
      <c r="I43" s="88" t="b">
        <v>0</v>
      </c>
      <c r="J43" s="88" t="b">
        <v>0</v>
      </c>
      <c r="K43" s="88" t="b">
        <v>0</v>
      </c>
      <c r="L43" s="88" t="b">
        <v>0</v>
      </c>
      <c r="M43" s="88" t="b">
        <v>0</v>
      </c>
      <c r="N43" s="88" t="b">
        <v>0</v>
      </c>
      <c r="O43" s="88" t="n"/>
      <c r="P43" s="89" t="n"/>
      <c r="Q43" s="90" t="n"/>
      <c r="R43" s="90" t="n"/>
    </row>
    <row r="44" ht="19" customHeight="1">
      <c r="A44" s="83" t="n">
        <v>39</v>
      </c>
      <c r="B44" s="84" t="inlineStr">
        <is>
          <t>案件039</t>
        </is>
      </c>
      <c r="C44" s="85" t="n"/>
      <c r="D44" s="85" t="n"/>
      <c r="E44" s="85" t="n"/>
      <c r="F44" s="85" t="n"/>
      <c r="G44" s="85" t="n"/>
      <c r="H44" s="85" t="n"/>
      <c r="I44" s="85" t="b">
        <v>0</v>
      </c>
      <c r="J44" s="85" t="b">
        <v>0</v>
      </c>
      <c r="K44" s="85" t="b">
        <v>0</v>
      </c>
      <c r="L44" s="85" t="b">
        <v>0</v>
      </c>
      <c r="M44" s="85" t="b">
        <v>0</v>
      </c>
      <c r="N44" s="85" t="b">
        <v>0</v>
      </c>
      <c r="O44" s="85" t="n"/>
      <c r="P44" s="86" t="n"/>
      <c r="Q44" s="87" t="n"/>
      <c r="R44" s="87" t="n"/>
    </row>
    <row r="45" ht="19" customHeight="1">
      <c r="A45" s="83" t="n">
        <v>40</v>
      </c>
      <c r="B45" s="84" t="inlineStr">
        <is>
          <t>案件040</t>
        </is>
      </c>
      <c r="C45" s="88" t="n"/>
      <c r="D45" s="88" t="n"/>
      <c r="E45" s="88" t="n"/>
      <c r="F45" s="88" t="n"/>
      <c r="G45" s="88" t="n"/>
      <c r="H45" s="88" t="n"/>
      <c r="I45" s="88" t="b">
        <v>0</v>
      </c>
      <c r="J45" s="88" t="b">
        <v>0</v>
      </c>
      <c r="K45" s="88" t="b">
        <v>0</v>
      </c>
      <c r="L45" s="88" t="b">
        <v>0</v>
      </c>
      <c r="M45" s="88" t="b">
        <v>0</v>
      </c>
      <c r="N45" s="88" t="b">
        <v>0</v>
      </c>
      <c r="O45" s="88" t="n"/>
      <c r="P45" s="89" t="n"/>
      <c r="Q45" s="90" t="n"/>
      <c r="R45" s="90" t="n"/>
    </row>
    <row r="46" ht="19" customHeight="1">
      <c r="A46" s="83" t="n">
        <v>41</v>
      </c>
      <c r="B46" s="84" t="inlineStr">
        <is>
          <t>案件041</t>
        </is>
      </c>
      <c r="C46" s="85" t="n"/>
      <c r="D46" s="85" t="n"/>
      <c r="E46" s="85" t="n"/>
      <c r="F46" s="85" t="n"/>
      <c r="G46" s="85" t="n"/>
      <c r="H46" s="85" t="n"/>
      <c r="I46" s="85" t="b">
        <v>0</v>
      </c>
      <c r="J46" s="85" t="b">
        <v>0</v>
      </c>
      <c r="K46" s="85" t="b">
        <v>0</v>
      </c>
      <c r="L46" s="85" t="b">
        <v>0</v>
      </c>
      <c r="M46" s="85" t="b">
        <v>0</v>
      </c>
      <c r="N46" s="85" t="b">
        <v>0</v>
      </c>
      <c r="O46" s="85" t="n"/>
      <c r="P46" s="86" t="n"/>
      <c r="Q46" s="87" t="n"/>
      <c r="R46" s="87" t="n"/>
    </row>
    <row r="47" ht="19" customHeight="1">
      <c r="A47" s="83" t="n">
        <v>42</v>
      </c>
      <c r="B47" s="84" t="inlineStr">
        <is>
          <t>案件042</t>
        </is>
      </c>
      <c r="C47" s="88" t="n"/>
      <c r="D47" s="88" t="n"/>
      <c r="E47" s="88" t="n"/>
      <c r="F47" s="88" t="n"/>
      <c r="G47" s="88" t="n"/>
      <c r="H47" s="88" t="n"/>
      <c r="I47" s="88" t="b">
        <v>0</v>
      </c>
      <c r="J47" s="88" t="b">
        <v>0</v>
      </c>
      <c r="K47" s="88" t="b">
        <v>0</v>
      </c>
      <c r="L47" s="88" t="b">
        <v>0</v>
      </c>
      <c r="M47" s="88" t="b">
        <v>0</v>
      </c>
      <c r="N47" s="88" t="b">
        <v>0</v>
      </c>
      <c r="O47" s="88" t="n"/>
      <c r="P47" s="89" t="n"/>
      <c r="Q47" s="90" t="n"/>
      <c r="R47" s="90" t="n"/>
    </row>
    <row r="48" ht="19" customHeight="1">
      <c r="A48" s="83" t="n">
        <v>43</v>
      </c>
      <c r="B48" s="84" t="inlineStr">
        <is>
          <t>案件043</t>
        </is>
      </c>
      <c r="C48" s="85" t="n"/>
      <c r="D48" s="85" t="n"/>
      <c r="E48" s="85" t="n"/>
      <c r="F48" s="85" t="n"/>
      <c r="G48" s="85" t="n"/>
      <c r="H48" s="85" t="n"/>
      <c r="I48" s="85" t="b">
        <v>0</v>
      </c>
      <c r="J48" s="85" t="b">
        <v>0</v>
      </c>
      <c r="K48" s="85" t="b">
        <v>0</v>
      </c>
      <c r="L48" s="85" t="b">
        <v>0</v>
      </c>
      <c r="M48" s="85" t="b">
        <v>0</v>
      </c>
      <c r="N48" s="85" t="b">
        <v>0</v>
      </c>
      <c r="O48" s="85" t="n"/>
      <c r="P48" s="86" t="n"/>
      <c r="Q48" s="87" t="n"/>
      <c r="R48" s="87" t="n"/>
    </row>
    <row r="49" ht="19" customHeight="1">
      <c r="A49" s="83" t="n">
        <v>44</v>
      </c>
      <c r="B49" s="84" t="inlineStr">
        <is>
          <t>案件044</t>
        </is>
      </c>
      <c r="C49" s="88" t="n"/>
      <c r="D49" s="88" t="n"/>
      <c r="E49" s="88" t="n"/>
      <c r="F49" s="88" t="n"/>
      <c r="G49" s="88" t="n"/>
      <c r="H49" s="88" t="n"/>
      <c r="I49" s="88" t="b">
        <v>0</v>
      </c>
      <c r="J49" s="88" t="b">
        <v>0</v>
      </c>
      <c r="K49" s="88" t="b">
        <v>0</v>
      </c>
      <c r="L49" s="88" t="b">
        <v>0</v>
      </c>
      <c r="M49" s="88" t="b">
        <v>0</v>
      </c>
      <c r="N49" s="88" t="b">
        <v>0</v>
      </c>
      <c r="O49" s="88" t="n"/>
      <c r="P49" s="89" t="n"/>
      <c r="Q49" s="90" t="n"/>
      <c r="R49" s="90" t="n"/>
    </row>
    <row r="50" ht="19" customHeight="1">
      <c r="A50" s="83" t="n">
        <v>45</v>
      </c>
      <c r="B50" s="84" t="inlineStr">
        <is>
          <t>案件045</t>
        </is>
      </c>
      <c r="C50" s="85" t="n"/>
      <c r="D50" s="85" t="n"/>
      <c r="E50" s="85" t="n"/>
      <c r="F50" s="85" t="n"/>
      <c r="G50" s="85" t="n"/>
      <c r="H50" s="85" t="n"/>
      <c r="I50" s="85" t="b">
        <v>0</v>
      </c>
      <c r="J50" s="85" t="b">
        <v>0</v>
      </c>
      <c r="K50" s="85" t="b">
        <v>0</v>
      </c>
      <c r="L50" s="85" t="b">
        <v>0</v>
      </c>
      <c r="M50" s="85" t="b">
        <v>0</v>
      </c>
      <c r="N50" s="85" t="b">
        <v>0</v>
      </c>
      <c r="O50" s="85" t="n"/>
      <c r="P50" s="86" t="n"/>
      <c r="Q50" s="87" t="n"/>
      <c r="R50" s="87" t="n"/>
    </row>
    <row r="51" ht="19" customHeight="1">
      <c r="A51" s="83" t="n">
        <v>46</v>
      </c>
      <c r="B51" s="84" t="inlineStr">
        <is>
          <t>案件046</t>
        </is>
      </c>
      <c r="C51" s="88" t="n"/>
      <c r="D51" s="88" t="n"/>
      <c r="E51" s="88" t="n"/>
      <c r="F51" s="88" t="n"/>
      <c r="G51" s="88" t="n"/>
      <c r="H51" s="88" t="n"/>
      <c r="I51" s="88" t="b">
        <v>0</v>
      </c>
      <c r="J51" s="88" t="b">
        <v>0</v>
      </c>
      <c r="K51" s="88" t="b">
        <v>0</v>
      </c>
      <c r="L51" s="88" t="b">
        <v>0</v>
      </c>
      <c r="M51" s="88" t="b">
        <v>0</v>
      </c>
      <c r="N51" s="88" t="b">
        <v>0</v>
      </c>
      <c r="O51" s="88" t="n"/>
      <c r="P51" s="89" t="n"/>
      <c r="Q51" s="90" t="n"/>
      <c r="R51" s="90" t="n"/>
    </row>
    <row r="52" ht="19" customHeight="1">
      <c r="A52" s="83" t="n">
        <v>47</v>
      </c>
      <c r="B52" s="84" t="inlineStr">
        <is>
          <t>案件047</t>
        </is>
      </c>
      <c r="C52" s="85" t="n"/>
      <c r="D52" s="85" t="n"/>
      <c r="E52" s="85" t="n"/>
      <c r="F52" s="85" t="n"/>
      <c r="G52" s="85" t="n"/>
      <c r="H52" s="85" t="n"/>
      <c r="I52" s="85" t="b">
        <v>0</v>
      </c>
      <c r="J52" s="85" t="b">
        <v>0</v>
      </c>
      <c r="K52" s="85" t="b">
        <v>0</v>
      </c>
      <c r="L52" s="85" t="b">
        <v>0</v>
      </c>
      <c r="M52" s="85" t="b">
        <v>0</v>
      </c>
      <c r="N52" s="85" t="b">
        <v>0</v>
      </c>
      <c r="O52" s="85" t="n"/>
      <c r="P52" s="86" t="n"/>
      <c r="Q52" s="87" t="n"/>
      <c r="R52" s="87" t="n"/>
    </row>
    <row r="53" ht="19" customHeight="1">
      <c r="A53" s="83" t="n">
        <v>48</v>
      </c>
      <c r="B53" s="84" t="inlineStr">
        <is>
          <t>案件048</t>
        </is>
      </c>
      <c r="C53" s="88" t="n"/>
      <c r="D53" s="88" t="n"/>
      <c r="E53" s="88" t="n"/>
      <c r="F53" s="88" t="n"/>
      <c r="G53" s="88" t="n"/>
      <c r="H53" s="88" t="n"/>
      <c r="I53" s="88" t="b">
        <v>0</v>
      </c>
      <c r="J53" s="88" t="b">
        <v>0</v>
      </c>
      <c r="K53" s="88" t="b">
        <v>0</v>
      </c>
      <c r="L53" s="88" t="b">
        <v>0</v>
      </c>
      <c r="M53" s="88" t="b">
        <v>0</v>
      </c>
      <c r="N53" s="88" t="b">
        <v>0</v>
      </c>
      <c r="O53" s="88" t="n"/>
      <c r="P53" s="89" t="n"/>
      <c r="Q53" s="90" t="n"/>
      <c r="R53" s="90" t="n"/>
    </row>
    <row r="54" ht="19" customHeight="1">
      <c r="A54" s="83" t="n">
        <v>49</v>
      </c>
      <c r="B54" s="84" t="inlineStr">
        <is>
          <t>案件049</t>
        </is>
      </c>
      <c r="C54" s="85" t="n"/>
      <c r="D54" s="85" t="n"/>
      <c r="E54" s="85" t="n"/>
      <c r="F54" s="85" t="n"/>
      <c r="G54" s="85" t="n"/>
      <c r="H54" s="85" t="n"/>
      <c r="I54" s="85" t="b">
        <v>0</v>
      </c>
      <c r="J54" s="85" t="b">
        <v>0</v>
      </c>
      <c r="K54" s="85" t="b">
        <v>0</v>
      </c>
      <c r="L54" s="85" t="b">
        <v>0</v>
      </c>
      <c r="M54" s="85" t="b">
        <v>0</v>
      </c>
      <c r="N54" s="85" t="b">
        <v>0</v>
      </c>
      <c r="O54" s="85" t="n"/>
      <c r="P54" s="86" t="n"/>
      <c r="Q54" s="87" t="n"/>
      <c r="R54" s="87" t="n"/>
    </row>
    <row r="55" ht="19" customHeight="1">
      <c r="A55" s="83" t="n">
        <v>50</v>
      </c>
      <c r="B55" s="84" t="inlineStr">
        <is>
          <t>案件050</t>
        </is>
      </c>
      <c r="C55" s="88" t="n"/>
      <c r="D55" s="88" t="n"/>
      <c r="E55" s="88" t="n"/>
      <c r="F55" s="88" t="n"/>
      <c r="G55" s="88" t="n"/>
      <c r="H55" s="88" t="n"/>
      <c r="I55" s="88" t="b">
        <v>0</v>
      </c>
      <c r="J55" s="88" t="b">
        <v>0</v>
      </c>
      <c r="K55" s="88" t="b">
        <v>0</v>
      </c>
      <c r="L55" s="88" t="b">
        <v>0</v>
      </c>
      <c r="M55" s="88" t="b">
        <v>0</v>
      </c>
      <c r="N55" s="88" t="b">
        <v>0</v>
      </c>
      <c r="O55" s="88" t="n"/>
      <c r="P55" s="89" t="n"/>
      <c r="Q55" s="90" t="n"/>
      <c r="R55" s="90" t="n"/>
    </row>
    <row r="56" ht="19" customHeight="1">
      <c r="A56" s="83" t="n">
        <v>51</v>
      </c>
      <c r="B56" s="84" t="inlineStr">
        <is>
          <t>案件051</t>
        </is>
      </c>
      <c r="C56" s="85" t="n"/>
      <c r="D56" s="85" t="n"/>
      <c r="E56" s="85" t="n"/>
      <c r="F56" s="85" t="n"/>
      <c r="G56" s="85" t="n"/>
      <c r="H56" s="85" t="n"/>
      <c r="I56" s="85" t="b">
        <v>0</v>
      </c>
      <c r="J56" s="85" t="b">
        <v>0</v>
      </c>
      <c r="K56" s="85" t="b">
        <v>0</v>
      </c>
      <c r="L56" s="85" t="b">
        <v>0</v>
      </c>
      <c r="M56" s="85" t="b">
        <v>0</v>
      </c>
      <c r="N56" s="85" t="b">
        <v>0</v>
      </c>
      <c r="O56" s="85" t="n"/>
      <c r="P56" s="86" t="n"/>
      <c r="Q56" s="87" t="n"/>
      <c r="R56" s="87" t="n"/>
    </row>
    <row r="57" ht="19" customHeight="1">
      <c r="A57" s="83" t="n">
        <v>52</v>
      </c>
      <c r="B57" s="84" t="inlineStr">
        <is>
          <t>案件052</t>
        </is>
      </c>
      <c r="C57" s="88" t="n"/>
      <c r="D57" s="88" t="n"/>
      <c r="E57" s="88" t="n"/>
      <c r="F57" s="88" t="n"/>
      <c r="G57" s="88" t="n"/>
      <c r="H57" s="88" t="n"/>
      <c r="I57" s="88" t="b">
        <v>0</v>
      </c>
      <c r="J57" s="88" t="b">
        <v>0</v>
      </c>
      <c r="K57" s="88" t="b">
        <v>0</v>
      </c>
      <c r="L57" s="88" t="b">
        <v>0</v>
      </c>
      <c r="M57" s="88" t="b">
        <v>0</v>
      </c>
      <c r="N57" s="88" t="b">
        <v>0</v>
      </c>
      <c r="O57" s="88" t="n"/>
      <c r="P57" s="89" t="n"/>
      <c r="Q57" s="90" t="n"/>
      <c r="R57" s="90" t="n"/>
    </row>
    <row r="58" ht="19" customHeight="1">
      <c r="A58" s="83" t="n">
        <v>53</v>
      </c>
      <c r="B58" s="84" t="inlineStr">
        <is>
          <t>案件053</t>
        </is>
      </c>
      <c r="C58" s="85" t="n"/>
      <c r="D58" s="85" t="n"/>
      <c r="E58" s="85" t="n"/>
      <c r="F58" s="85" t="n"/>
      <c r="G58" s="85" t="n"/>
      <c r="H58" s="85" t="n"/>
      <c r="I58" s="85" t="b">
        <v>0</v>
      </c>
      <c r="J58" s="85" t="b">
        <v>0</v>
      </c>
      <c r="K58" s="85" t="b">
        <v>0</v>
      </c>
      <c r="L58" s="85" t="b">
        <v>0</v>
      </c>
      <c r="M58" s="85" t="b">
        <v>0</v>
      </c>
      <c r="N58" s="85" t="b">
        <v>0</v>
      </c>
      <c r="O58" s="85" t="n"/>
      <c r="P58" s="86" t="n"/>
      <c r="Q58" s="87" t="n"/>
      <c r="R58" s="87" t="n"/>
    </row>
    <row r="59" ht="19" customHeight="1">
      <c r="A59" s="83" t="n">
        <v>54</v>
      </c>
      <c r="B59" s="84" t="inlineStr">
        <is>
          <t>案件054</t>
        </is>
      </c>
      <c r="C59" s="88" t="n"/>
      <c r="D59" s="88" t="n"/>
      <c r="E59" s="88" t="n"/>
      <c r="F59" s="88" t="n"/>
      <c r="G59" s="88" t="n"/>
      <c r="H59" s="88" t="n"/>
      <c r="I59" s="88" t="b">
        <v>0</v>
      </c>
      <c r="J59" s="88" t="b">
        <v>0</v>
      </c>
      <c r="K59" s="88" t="b">
        <v>0</v>
      </c>
      <c r="L59" s="88" t="b">
        <v>0</v>
      </c>
      <c r="M59" s="88" t="b">
        <v>0</v>
      </c>
      <c r="N59" s="88" t="b">
        <v>0</v>
      </c>
      <c r="O59" s="88" t="n"/>
      <c r="P59" s="89" t="n"/>
      <c r="Q59" s="90" t="n"/>
      <c r="R59" s="90" t="n"/>
    </row>
    <row r="60" ht="19" customHeight="1">
      <c r="A60" s="83" t="n">
        <v>55</v>
      </c>
      <c r="B60" s="84" t="inlineStr">
        <is>
          <t>案件055</t>
        </is>
      </c>
      <c r="C60" s="85" t="n"/>
      <c r="D60" s="85" t="n"/>
      <c r="E60" s="85" t="n"/>
      <c r="F60" s="85" t="n"/>
      <c r="G60" s="85" t="n"/>
      <c r="H60" s="85" t="n"/>
      <c r="I60" s="85" t="b">
        <v>0</v>
      </c>
      <c r="J60" s="85" t="b">
        <v>0</v>
      </c>
      <c r="K60" s="85" t="b">
        <v>0</v>
      </c>
      <c r="L60" s="85" t="b">
        <v>0</v>
      </c>
      <c r="M60" s="85" t="b">
        <v>0</v>
      </c>
      <c r="N60" s="85" t="b">
        <v>0</v>
      </c>
      <c r="O60" s="85" t="n"/>
      <c r="P60" s="86" t="n"/>
      <c r="Q60" s="87" t="n"/>
      <c r="R60" s="87" t="n"/>
    </row>
    <row r="61" ht="19" customHeight="1">
      <c r="A61" s="83" t="n">
        <v>56</v>
      </c>
      <c r="B61" s="84" t="inlineStr">
        <is>
          <t>案件056</t>
        </is>
      </c>
      <c r="C61" s="88" t="n"/>
      <c r="D61" s="88" t="n"/>
      <c r="E61" s="88" t="n"/>
      <c r="F61" s="88" t="n"/>
      <c r="G61" s="88" t="n"/>
      <c r="H61" s="88" t="n"/>
      <c r="I61" s="88" t="b">
        <v>0</v>
      </c>
      <c r="J61" s="88" t="b">
        <v>0</v>
      </c>
      <c r="K61" s="88" t="b">
        <v>0</v>
      </c>
      <c r="L61" s="88" t="b">
        <v>0</v>
      </c>
      <c r="M61" s="88" t="b">
        <v>0</v>
      </c>
      <c r="N61" s="88" t="b">
        <v>0</v>
      </c>
      <c r="O61" s="88" t="n"/>
      <c r="P61" s="89" t="n"/>
      <c r="Q61" s="90" t="n"/>
      <c r="R61" s="90" t="n"/>
    </row>
    <row r="62" ht="19" customHeight="1">
      <c r="A62" s="83" t="n">
        <v>57</v>
      </c>
      <c r="B62" s="84" t="inlineStr">
        <is>
          <t>案件057</t>
        </is>
      </c>
      <c r="C62" s="85" t="n"/>
      <c r="D62" s="85" t="n"/>
      <c r="E62" s="85" t="n"/>
      <c r="F62" s="85" t="n"/>
      <c r="G62" s="85" t="n"/>
      <c r="H62" s="85" t="n"/>
      <c r="I62" s="85" t="b">
        <v>0</v>
      </c>
      <c r="J62" s="85" t="b">
        <v>0</v>
      </c>
      <c r="K62" s="85" t="b">
        <v>0</v>
      </c>
      <c r="L62" s="85" t="b">
        <v>0</v>
      </c>
      <c r="M62" s="85" t="b">
        <v>0</v>
      </c>
      <c r="N62" s="85" t="b">
        <v>0</v>
      </c>
      <c r="O62" s="85" t="n"/>
      <c r="P62" s="86" t="n"/>
      <c r="Q62" s="87" t="n"/>
      <c r="R62" s="87" t="n"/>
    </row>
    <row r="63" ht="19" customHeight="1">
      <c r="A63" s="83" t="n">
        <v>58</v>
      </c>
      <c r="B63" s="84" t="inlineStr">
        <is>
          <t>案件058</t>
        </is>
      </c>
      <c r="C63" s="88" t="n"/>
      <c r="D63" s="88" t="n"/>
      <c r="E63" s="88" t="n"/>
      <c r="F63" s="88" t="n"/>
      <c r="G63" s="88" t="n"/>
      <c r="H63" s="88" t="n"/>
      <c r="I63" s="88" t="b">
        <v>0</v>
      </c>
      <c r="J63" s="88" t="b">
        <v>0</v>
      </c>
      <c r="K63" s="88" t="b">
        <v>0</v>
      </c>
      <c r="L63" s="88" t="b">
        <v>0</v>
      </c>
      <c r="M63" s="88" t="b">
        <v>0</v>
      </c>
      <c r="N63" s="88" t="b">
        <v>0</v>
      </c>
      <c r="O63" s="88" t="n"/>
      <c r="P63" s="89" t="n"/>
      <c r="Q63" s="90" t="n"/>
      <c r="R63" s="90" t="n"/>
    </row>
    <row r="64" ht="19" customHeight="1">
      <c r="A64" s="83" t="n">
        <v>59</v>
      </c>
      <c r="B64" s="84" t="inlineStr">
        <is>
          <t>案件059</t>
        </is>
      </c>
      <c r="C64" s="85" t="n"/>
      <c r="D64" s="85" t="n"/>
      <c r="E64" s="85" t="n"/>
      <c r="F64" s="85" t="n"/>
      <c r="G64" s="85" t="n"/>
      <c r="H64" s="85" t="n"/>
      <c r="I64" s="85" t="b">
        <v>0</v>
      </c>
      <c r="J64" s="85" t="b">
        <v>0</v>
      </c>
      <c r="K64" s="85" t="b">
        <v>0</v>
      </c>
      <c r="L64" s="85" t="b">
        <v>0</v>
      </c>
      <c r="M64" s="85" t="b">
        <v>0</v>
      </c>
      <c r="N64" s="85" t="b">
        <v>0</v>
      </c>
      <c r="O64" s="85" t="n"/>
      <c r="P64" s="86" t="n"/>
      <c r="Q64" s="87" t="n"/>
      <c r="R64" s="87" t="n"/>
    </row>
    <row r="65" ht="19" customHeight="1">
      <c r="A65" s="83" t="n">
        <v>60</v>
      </c>
      <c r="B65" s="84" t="inlineStr">
        <is>
          <t>案件060</t>
        </is>
      </c>
      <c r="C65" s="88" t="n"/>
      <c r="D65" s="88" t="n"/>
      <c r="E65" s="88" t="n"/>
      <c r="F65" s="88" t="n"/>
      <c r="G65" s="88" t="n"/>
      <c r="H65" s="88" t="n"/>
      <c r="I65" s="88" t="b">
        <v>0</v>
      </c>
      <c r="J65" s="88" t="b">
        <v>0</v>
      </c>
      <c r="K65" s="88" t="b">
        <v>0</v>
      </c>
      <c r="L65" s="88" t="b">
        <v>0</v>
      </c>
      <c r="M65" s="88" t="b">
        <v>0</v>
      </c>
      <c r="N65" s="88" t="b">
        <v>0</v>
      </c>
      <c r="O65" s="88" t="n"/>
      <c r="P65" s="89" t="n"/>
      <c r="Q65" s="90" t="n"/>
      <c r="R65" s="90" t="n"/>
    </row>
    <row r="66" ht="19" customHeight="1">
      <c r="A66" s="83" t="n">
        <v>61</v>
      </c>
      <c r="B66" s="84" t="inlineStr">
        <is>
          <t>案件061</t>
        </is>
      </c>
      <c r="C66" s="85" t="n"/>
      <c r="D66" s="85" t="n"/>
      <c r="E66" s="85" t="n"/>
      <c r="F66" s="85" t="n"/>
      <c r="G66" s="85" t="n"/>
      <c r="H66" s="85" t="n"/>
      <c r="I66" s="85" t="b">
        <v>0</v>
      </c>
      <c r="J66" s="85" t="b">
        <v>0</v>
      </c>
      <c r="K66" s="85" t="b">
        <v>0</v>
      </c>
      <c r="L66" s="85" t="b">
        <v>0</v>
      </c>
      <c r="M66" s="85" t="b">
        <v>0</v>
      </c>
      <c r="N66" s="85" t="b">
        <v>0</v>
      </c>
      <c r="O66" s="85" t="n"/>
      <c r="P66" s="86" t="n"/>
      <c r="Q66" s="87" t="n"/>
      <c r="R66" s="87" t="n"/>
    </row>
    <row r="67" ht="19" customHeight="1">
      <c r="A67" s="83" t="n">
        <v>62</v>
      </c>
      <c r="B67" s="84" t="inlineStr">
        <is>
          <t>案件062</t>
        </is>
      </c>
      <c r="C67" s="88" t="n"/>
      <c r="D67" s="88" t="n"/>
      <c r="E67" s="88" t="n"/>
      <c r="F67" s="88" t="n"/>
      <c r="G67" s="88" t="n"/>
      <c r="H67" s="88" t="n"/>
      <c r="I67" s="88" t="b">
        <v>0</v>
      </c>
      <c r="J67" s="88" t="b">
        <v>0</v>
      </c>
      <c r="K67" s="88" t="b">
        <v>0</v>
      </c>
      <c r="L67" s="88" t="b">
        <v>0</v>
      </c>
      <c r="M67" s="88" t="b">
        <v>0</v>
      </c>
      <c r="N67" s="88" t="b">
        <v>0</v>
      </c>
      <c r="O67" s="88" t="n"/>
      <c r="P67" s="89" t="n"/>
      <c r="Q67" s="90" t="n"/>
      <c r="R67" s="90" t="n"/>
    </row>
    <row r="68" ht="19" customHeight="1">
      <c r="A68" s="83" t="n">
        <v>63</v>
      </c>
      <c r="B68" s="84" t="inlineStr">
        <is>
          <t>案件063</t>
        </is>
      </c>
      <c r="C68" s="85" t="n"/>
      <c r="D68" s="85" t="n"/>
      <c r="E68" s="85" t="n"/>
      <c r="F68" s="85" t="n"/>
      <c r="G68" s="85" t="n"/>
      <c r="H68" s="85" t="n"/>
      <c r="I68" s="85" t="b">
        <v>0</v>
      </c>
      <c r="J68" s="85" t="b">
        <v>0</v>
      </c>
      <c r="K68" s="85" t="b">
        <v>0</v>
      </c>
      <c r="L68" s="85" t="b">
        <v>0</v>
      </c>
      <c r="M68" s="85" t="b">
        <v>0</v>
      </c>
      <c r="N68" s="85" t="b">
        <v>0</v>
      </c>
      <c r="O68" s="85" t="n"/>
      <c r="P68" s="86" t="n"/>
      <c r="Q68" s="87" t="n"/>
      <c r="R68" s="87" t="n"/>
    </row>
    <row r="69" ht="19" customHeight="1">
      <c r="A69" s="83" t="n">
        <v>64</v>
      </c>
      <c r="B69" s="84" t="inlineStr">
        <is>
          <t>案件064</t>
        </is>
      </c>
      <c r="C69" s="88" t="n"/>
      <c r="D69" s="88" t="n"/>
      <c r="E69" s="88" t="n"/>
      <c r="F69" s="88" t="n"/>
      <c r="G69" s="88" t="n"/>
      <c r="H69" s="88" t="n"/>
      <c r="I69" s="88" t="b">
        <v>0</v>
      </c>
      <c r="J69" s="88" t="b">
        <v>0</v>
      </c>
      <c r="K69" s="88" t="b">
        <v>0</v>
      </c>
      <c r="L69" s="88" t="b">
        <v>0</v>
      </c>
      <c r="M69" s="88" t="b">
        <v>0</v>
      </c>
      <c r="N69" s="88" t="b">
        <v>0</v>
      </c>
      <c r="O69" s="88" t="n"/>
      <c r="P69" s="89" t="n"/>
      <c r="Q69" s="90" t="n"/>
      <c r="R69" s="90" t="n"/>
    </row>
    <row r="70" ht="19" customHeight="1">
      <c r="A70" s="83" t="n">
        <v>65</v>
      </c>
      <c r="B70" s="84" t="inlineStr">
        <is>
          <t>案件065</t>
        </is>
      </c>
      <c r="C70" s="85" t="n"/>
      <c r="D70" s="85" t="n"/>
      <c r="E70" s="85" t="n"/>
      <c r="F70" s="85" t="n"/>
      <c r="G70" s="85" t="n"/>
      <c r="H70" s="85" t="n"/>
      <c r="I70" s="85" t="b">
        <v>0</v>
      </c>
      <c r="J70" s="85" t="b">
        <v>0</v>
      </c>
      <c r="K70" s="85" t="b">
        <v>0</v>
      </c>
      <c r="L70" s="85" t="b">
        <v>0</v>
      </c>
      <c r="M70" s="85" t="b">
        <v>0</v>
      </c>
      <c r="N70" s="85" t="b">
        <v>0</v>
      </c>
      <c r="O70" s="85" t="n"/>
      <c r="P70" s="86" t="n"/>
      <c r="Q70" s="87" t="n"/>
      <c r="R70" s="87" t="n"/>
    </row>
    <row r="71" ht="19" customHeight="1">
      <c r="A71" s="83" t="n">
        <v>66</v>
      </c>
      <c r="B71" s="84" t="inlineStr">
        <is>
          <t>案件066</t>
        </is>
      </c>
      <c r="C71" s="88" t="n"/>
      <c r="D71" s="88" t="n"/>
      <c r="E71" s="88" t="n"/>
      <c r="F71" s="88" t="n"/>
      <c r="G71" s="88" t="n"/>
      <c r="H71" s="88" t="n"/>
      <c r="I71" s="88" t="b">
        <v>0</v>
      </c>
      <c r="J71" s="88" t="b">
        <v>0</v>
      </c>
      <c r="K71" s="88" t="b">
        <v>0</v>
      </c>
      <c r="L71" s="88" t="b">
        <v>0</v>
      </c>
      <c r="M71" s="88" t="b">
        <v>0</v>
      </c>
      <c r="N71" s="88" t="b">
        <v>0</v>
      </c>
      <c r="O71" s="88" t="n"/>
      <c r="P71" s="89" t="n"/>
      <c r="Q71" s="90" t="n"/>
      <c r="R71" s="90" t="n"/>
    </row>
    <row r="72" ht="19" customHeight="1">
      <c r="A72" s="83" t="n">
        <v>67</v>
      </c>
      <c r="B72" s="84" t="inlineStr">
        <is>
          <t>案件067</t>
        </is>
      </c>
      <c r="C72" s="85" t="n"/>
      <c r="D72" s="85" t="n"/>
      <c r="E72" s="85" t="n"/>
      <c r="F72" s="85" t="n"/>
      <c r="G72" s="85" t="n"/>
      <c r="H72" s="85" t="n"/>
      <c r="I72" s="85" t="b">
        <v>0</v>
      </c>
      <c r="J72" s="85" t="b">
        <v>0</v>
      </c>
      <c r="K72" s="85" t="b">
        <v>0</v>
      </c>
      <c r="L72" s="85" t="b">
        <v>0</v>
      </c>
      <c r="M72" s="85" t="b">
        <v>0</v>
      </c>
      <c r="N72" s="85" t="b">
        <v>0</v>
      </c>
      <c r="O72" s="85" t="n"/>
      <c r="P72" s="86" t="n"/>
      <c r="Q72" s="87" t="n"/>
      <c r="R72" s="87" t="n"/>
    </row>
    <row r="73" ht="19" customHeight="1">
      <c r="A73" s="83" t="n">
        <v>68</v>
      </c>
      <c r="B73" s="84" t="inlineStr">
        <is>
          <t>案件068</t>
        </is>
      </c>
      <c r="C73" s="88" t="n"/>
      <c r="D73" s="88" t="n"/>
      <c r="E73" s="88" t="n"/>
      <c r="F73" s="88" t="n"/>
      <c r="G73" s="88" t="n"/>
      <c r="H73" s="88" t="n"/>
      <c r="I73" s="88" t="b">
        <v>0</v>
      </c>
      <c r="J73" s="88" t="b">
        <v>0</v>
      </c>
      <c r="K73" s="88" t="b">
        <v>0</v>
      </c>
      <c r="L73" s="88" t="b">
        <v>0</v>
      </c>
      <c r="M73" s="88" t="b">
        <v>0</v>
      </c>
      <c r="N73" s="88" t="b">
        <v>0</v>
      </c>
      <c r="O73" s="88" t="n"/>
      <c r="P73" s="89" t="n"/>
      <c r="Q73" s="90" t="n"/>
      <c r="R73" s="90" t="n"/>
    </row>
    <row r="74" ht="19" customHeight="1">
      <c r="A74" s="83" t="n">
        <v>69</v>
      </c>
      <c r="B74" s="84" t="inlineStr">
        <is>
          <t>案件069</t>
        </is>
      </c>
      <c r="C74" s="85" t="n"/>
      <c r="D74" s="85" t="n"/>
      <c r="E74" s="85" t="n"/>
      <c r="F74" s="85" t="n"/>
      <c r="G74" s="85" t="n"/>
      <c r="H74" s="85" t="n"/>
      <c r="I74" s="85" t="b">
        <v>0</v>
      </c>
      <c r="J74" s="85" t="b">
        <v>0</v>
      </c>
      <c r="K74" s="85" t="b">
        <v>0</v>
      </c>
      <c r="L74" s="85" t="b">
        <v>0</v>
      </c>
      <c r="M74" s="85" t="b">
        <v>0</v>
      </c>
      <c r="N74" s="85" t="b">
        <v>0</v>
      </c>
      <c r="O74" s="85" t="n"/>
      <c r="P74" s="86" t="n"/>
      <c r="Q74" s="87" t="n"/>
      <c r="R74" s="87" t="n"/>
    </row>
    <row r="75" ht="19" customHeight="1">
      <c r="A75" s="83" t="n">
        <v>70</v>
      </c>
      <c r="B75" s="84" t="inlineStr">
        <is>
          <t>案件070</t>
        </is>
      </c>
      <c r="C75" s="88" t="n"/>
      <c r="D75" s="88" t="n"/>
      <c r="E75" s="88" t="n"/>
      <c r="F75" s="88" t="n"/>
      <c r="G75" s="88" t="n"/>
      <c r="H75" s="88" t="n"/>
      <c r="I75" s="88" t="b">
        <v>0</v>
      </c>
      <c r="J75" s="88" t="b">
        <v>0</v>
      </c>
      <c r="K75" s="88" t="b">
        <v>0</v>
      </c>
      <c r="L75" s="88" t="b">
        <v>0</v>
      </c>
      <c r="M75" s="88" t="b">
        <v>0</v>
      </c>
      <c r="N75" s="88" t="b">
        <v>0</v>
      </c>
      <c r="O75" s="88" t="n"/>
      <c r="P75" s="89" t="n"/>
      <c r="Q75" s="90" t="n"/>
      <c r="R75" s="90" t="n"/>
    </row>
    <row r="76" ht="19" customHeight="1">
      <c r="A76" s="83" t="n">
        <v>71</v>
      </c>
      <c r="B76" s="84" t="inlineStr">
        <is>
          <t>案件071</t>
        </is>
      </c>
      <c r="C76" s="85" t="n"/>
      <c r="D76" s="85" t="n"/>
      <c r="E76" s="85" t="n"/>
      <c r="F76" s="85" t="n"/>
      <c r="G76" s="85" t="n"/>
      <c r="H76" s="85" t="n"/>
      <c r="I76" s="85" t="b">
        <v>0</v>
      </c>
      <c r="J76" s="85" t="b">
        <v>0</v>
      </c>
      <c r="K76" s="85" t="b">
        <v>0</v>
      </c>
      <c r="L76" s="85" t="b">
        <v>0</v>
      </c>
      <c r="M76" s="85" t="b">
        <v>0</v>
      </c>
      <c r="N76" s="85" t="b">
        <v>0</v>
      </c>
      <c r="O76" s="85" t="n"/>
      <c r="P76" s="86" t="n"/>
      <c r="Q76" s="87" t="n"/>
      <c r="R76" s="87" t="n"/>
    </row>
    <row r="77" ht="19" customHeight="1">
      <c r="A77" s="83" t="n">
        <v>72</v>
      </c>
      <c r="B77" s="84" t="inlineStr">
        <is>
          <t>案件072</t>
        </is>
      </c>
      <c r="C77" s="88" t="n"/>
      <c r="D77" s="88" t="n"/>
      <c r="E77" s="88" t="n"/>
      <c r="F77" s="88" t="n"/>
      <c r="G77" s="88" t="n"/>
      <c r="H77" s="88" t="n"/>
      <c r="I77" s="88" t="b">
        <v>0</v>
      </c>
      <c r="J77" s="88" t="b">
        <v>0</v>
      </c>
      <c r="K77" s="88" t="b">
        <v>0</v>
      </c>
      <c r="L77" s="88" t="b">
        <v>0</v>
      </c>
      <c r="M77" s="88" t="b">
        <v>0</v>
      </c>
      <c r="N77" s="88" t="b">
        <v>0</v>
      </c>
      <c r="O77" s="88" t="n"/>
      <c r="P77" s="89" t="n"/>
      <c r="Q77" s="90" t="n"/>
      <c r="R77" s="90" t="n"/>
    </row>
    <row r="78" ht="19" customHeight="1">
      <c r="A78" s="83" t="n">
        <v>73</v>
      </c>
      <c r="B78" s="84" t="inlineStr">
        <is>
          <t>案件073</t>
        </is>
      </c>
      <c r="C78" s="85" t="n"/>
      <c r="D78" s="85" t="n"/>
      <c r="E78" s="85" t="n"/>
      <c r="F78" s="85" t="n"/>
      <c r="G78" s="85" t="n"/>
      <c r="H78" s="85" t="n"/>
      <c r="I78" s="85" t="b">
        <v>0</v>
      </c>
      <c r="J78" s="85" t="b">
        <v>0</v>
      </c>
      <c r="K78" s="85" t="b">
        <v>0</v>
      </c>
      <c r="L78" s="85" t="b">
        <v>0</v>
      </c>
      <c r="M78" s="85" t="b">
        <v>0</v>
      </c>
      <c r="N78" s="85" t="b">
        <v>0</v>
      </c>
      <c r="O78" s="85" t="n"/>
      <c r="P78" s="86" t="n"/>
      <c r="Q78" s="87" t="n"/>
      <c r="R78" s="87" t="n"/>
    </row>
    <row r="79" ht="19" customHeight="1">
      <c r="A79" s="83" t="n">
        <v>74</v>
      </c>
      <c r="B79" s="84" t="inlineStr">
        <is>
          <t>案件074</t>
        </is>
      </c>
      <c r="C79" s="88" t="n"/>
      <c r="D79" s="88" t="n"/>
      <c r="E79" s="88" t="n"/>
      <c r="F79" s="88" t="n"/>
      <c r="G79" s="88" t="n"/>
      <c r="H79" s="88" t="n"/>
      <c r="I79" s="88" t="b">
        <v>0</v>
      </c>
      <c r="J79" s="88" t="b">
        <v>0</v>
      </c>
      <c r="K79" s="88" t="b">
        <v>0</v>
      </c>
      <c r="L79" s="88" t="b">
        <v>0</v>
      </c>
      <c r="M79" s="88" t="b">
        <v>0</v>
      </c>
      <c r="N79" s="88" t="b">
        <v>0</v>
      </c>
      <c r="O79" s="88" t="n"/>
      <c r="P79" s="89" t="n"/>
      <c r="Q79" s="90" t="n"/>
      <c r="R79" s="90" t="n"/>
    </row>
    <row r="80" ht="19" customHeight="1">
      <c r="A80" s="83" t="n">
        <v>75</v>
      </c>
      <c r="B80" s="84" t="inlineStr">
        <is>
          <t>案件075</t>
        </is>
      </c>
      <c r="C80" s="85" t="n"/>
      <c r="D80" s="85" t="n"/>
      <c r="E80" s="85" t="n"/>
      <c r="F80" s="85" t="n"/>
      <c r="G80" s="85" t="n"/>
      <c r="H80" s="85" t="n"/>
      <c r="I80" s="85" t="b">
        <v>0</v>
      </c>
      <c r="J80" s="85" t="b">
        <v>0</v>
      </c>
      <c r="K80" s="85" t="b">
        <v>0</v>
      </c>
      <c r="L80" s="85" t="b">
        <v>0</v>
      </c>
      <c r="M80" s="85" t="b">
        <v>0</v>
      </c>
      <c r="N80" s="85" t="b">
        <v>0</v>
      </c>
      <c r="O80" s="85" t="n"/>
      <c r="P80" s="86" t="n"/>
      <c r="Q80" s="87" t="n"/>
      <c r="R80" s="87" t="n"/>
    </row>
    <row r="81" ht="19" customHeight="1">
      <c r="A81" s="83" t="n">
        <v>76</v>
      </c>
      <c r="B81" s="84" t="inlineStr">
        <is>
          <t>案件076</t>
        </is>
      </c>
      <c r="C81" s="88" t="n"/>
      <c r="D81" s="88" t="n"/>
      <c r="E81" s="88" t="n"/>
      <c r="F81" s="88" t="n"/>
      <c r="G81" s="88" t="n"/>
      <c r="H81" s="88" t="n"/>
      <c r="I81" s="88" t="b">
        <v>0</v>
      </c>
      <c r="J81" s="88" t="b">
        <v>0</v>
      </c>
      <c r="K81" s="88" t="b">
        <v>0</v>
      </c>
      <c r="L81" s="88" t="b">
        <v>0</v>
      </c>
      <c r="M81" s="88" t="b">
        <v>0</v>
      </c>
      <c r="N81" s="88" t="b">
        <v>0</v>
      </c>
      <c r="O81" s="88" t="n"/>
      <c r="P81" s="89" t="n"/>
      <c r="Q81" s="90" t="n"/>
      <c r="R81" s="90" t="n"/>
    </row>
    <row r="82" ht="19" customHeight="1">
      <c r="A82" s="83" t="n">
        <v>77</v>
      </c>
      <c r="B82" s="84" t="inlineStr">
        <is>
          <t>案件077</t>
        </is>
      </c>
      <c r="C82" s="85" t="n"/>
      <c r="D82" s="85" t="n"/>
      <c r="E82" s="85" t="n"/>
      <c r="F82" s="85" t="n"/>
      <c r="G82" s="85" t="n"/>
      <c r="H82" s="85" t="n"/>
      <c r="I82" s="85" t="b">
        <v>0</v>
      </c>
      <c r="J82" s="85" t="b">
        <v>0</v>
      </c>
      <c r="K82" s="85" t="b">
        <v>0</v>
      </c>
      <c r="L82" s="85" t="b">
        <v>0</v>
      </c>
      <c r="M82" s="85" t="b">
        <v>0</v>
      </c>
      <c r="N82" s="85" t="b">
        <v>0</v>
      </c>
      <c r="O82" s="85" t="n"/>
      <c r="P82" s="86" t="n"/>
      <c r="Q82" s="87" t="n"/>
      <c r="R82" s="87" t="n"/>
    </row>
    <row r="83" ht="19" customHeight="1">
      <c r="A83" s="83" t="n">
        <v>78</v>
      </c>
      <c r="B83" s="84" t="inlineStr">
        <is>
          <t>案件078</t>
        </is>
      </c>
      <c r="C83" s="88" t="n"/>
      <c r="D83" s="88" t="n"/>
      <c r="E83" s="88" t="n"/>
      <c r="F83" s="88" t="n"/>
      <c r="G83" s="88" t="n"/>
      <c r="H83" s="88" t="n"/>
      <c r="I83" s="88" t="b">
        <v>0</v>
      </c>
      <c r="J83" s="88" t="b">
        <v>0</v>
      </c>
      <c r="K83" s="88" t="b">
        <v>0</v>
      </c>
      <c r="L83" s="88" t="b">
        <v>0</v>
      </c>
      <c r="M83" s="88" t="b">
        <v>0</v>
      </c>
      <c r="N83" s="88" t="b">
        <v>0</v>
      </c>
      <c r="O83" s="88" t="n"/>
      <c r="P83" s="89" t="n"/>
      <c r="Q83" s="90" t="n"/>
      <c r="R83" s="90" t="n"/>
    </row>
    <row r="84" ht="19" customHeight="1">
      <c r="A84" s="83" t="n">
        <v>79</v>
      </c>
      <c r="B84" s="84" t="inlineStr">
        <is>
          <t>案件079</t>
        </is>
      </c>
      <c r="C84" s="85" t="n"/>
      <c r="D84" s="85" t="n"/>
      <c r="E84" s="85" t="n"/>
      <c r="F84" s="85" t="n"/>
      <c r="G84" s="85" t="n"/>
      <c r="H84" s="85" t="n"/>
      <c r="I84" s="85" t="b">
        <v>0</v>
      </c>
      <c r="J84" s="85" t="b">
        <v>0</v>
      </c>
      <c r="K84" s="85" t="b">
        <v>0</v>
      </c>
      <c r="L84" s="85" t="b">
        <v>0</v>
      </c>
      <c r="M84" s="85" t="b">
        <v>0</v>
      </c>
      <c r="N84" s="85" t="b">
        <v>0</v>
      </c>
      <c r="O84" s="85" t="n"/>
      <c r="P84" s="86" t="n"/>
      <c r="Q84" s="87" t="n"/>
      <c r="R84" s="87" t="n"/>
    </row>
    <row r="85" ht="19" customHeight="1">
      <c r="A85" s="83" t="n">
        <v>80</v>
      </c>
      <c r="B85" s="84" t="inlineStr">
        <is>
          <t>案件080</t>
        </is>
      </c>
      <c r="C85" s="88" t="n"/>
      <c r="D85" s="88" t="n"/>
      <c r="E85" s="88" t="n"/>
      <c r="F85" s="88" t="n"/>
      <c r="G85" s="88" t="n"/>
      <c r="H85" s="88" t="n"/>
      <c r="I85" s="88" t="b">
        <v>0</v>
      </c>
      <c r="J85" s="88" t="b">
        <v>0</v>
      </c>
      <c r="K85" s="88" t="b">
        <v>0</v>
      </c>
      <c r="L85" s="88" t="b">
        <v>0</v>
      </c>
      <c r="M85" s="88" t="b">
        <v>0</v>
      </c>
      <c r="N85" s="88" t="b">
        <v>0</v>
      </c>
      <c r="O85" s="88" t="n"/>
      <c r="P85" s="89" t="n"/>
      <c r="Q85" s="90" t="n"/>
      <c r="R85" s="90" t="n"/>
    </row>
    <row r="86" ht="19" customHeight="1">
      <c r="A86" s="83" t="n">
        <v>81</v>
      </c>
      <c r="B86" s="84" t="inlineStr">
        <is>
          <t>案件081</t>
        </is>
      </c>
      <c r="C86" s="85" t="n"/>
      <c r="D86" s="85" t="n"/>
      <c r="E86" s="85" t="n"/>
      <c r="F86" s="85" t="n"/>
      <c r="G86" s="85" t="n"/>
      <c r="H86" s="85" t="n"/>
      <c r="I86" s="85" t="b">
        <v>0</v>
      </c>
      <c r="J86" s="85" t="b">
        <v>0</v>
      </c>
      <c r="K86" s="85" t="b">
        <v>0</v>
      </c>
      <c r="L86" s="85" t="b">
        <v>0</v>
      </c>
      <c r="M86" s="85" t="b">
        <v>0</v>
      </c>
      <c r="N86" s="85" t="b">
        <v>0</v>
      </c>
      <c r="O86" s="85" t="n"/>
      <c r="P86" s="86" t="n"/>
      <c r="Q86" s="87" t="n"/>
      <c r="R86" s="87" t="n"/>
    </row>
    <row r="87" ht="19" customHeight="1">
      <c r="A87" s="83" t="n">
        <v>82</v>
      </c>
      <c r="B87" s="84" t="inlineStr">
        <is>
          <t>案件082</t>
        </is>
      </c>
      <c r="C87" s="88" t="n"/>
      <c r="D87" s="88" t="n"/>
      <c r="E87" s="88" t="n"/>
      <c r="F87" s="88" t="n"/>
      <c r="G87" s="88" t="n"/>
      <c r="H87" s="88" t="n"/>
      <c r="I87" s="88" t="b">
        <v>0</v>
      </c>
      <c r="J87" s="88" t="b">
        <v>0</v>
      </c>
      <c r="K87" s="88" t="b">
        <v>0</v>
      </c>
      <c r="L87" s="88" t="b">
        <v>0</v>
      </c>
      <c r="M87" s="88" t="b">
        <v>0</v>
      </c>
      <c r="N87" s="88" t="b">
        <v>0</v>
      </c>
      <c r="O87" s="88" t="n"/>
      <c r="P87" s="89" t="n"/>
      <c r="Q87" s="90" t="n"/>
      <c r="R87" s="90" t="n"/>
    </row>
    <row r="88" ht="19" customHeight="1">
      <c r="A88" s="83" t="n">
        <v>83</v>
      </c>
      <c r="B88" s="84" t="inlineStr">
        <is>
          <t>案件083</t>
        </is>
      </c>
      <c r="C88" s="85" t="n"/>
      <c r="D88" s="85" t="n"/>
      <c r="E88" s="85" t="n"/>
      <c r="F88" s="85" t="n"/>
      <c r="G88" s="85" t="n"/>
      <c r="H88" s="85" t="n"/>
      <c r="I88" s="85" t="b">
        <v>0</v>
      </c>
      <c r="J88" s="85" t="b">
        <v>0</v>
      </c>
      <c r="K88" s="85" t="b">
        <v>0</v>
      </c>
      <c r="L88" s="85" t="b">
        <v>0</v>
      </c>
      <c r="M88" s="85" t="b">
        <v>0</v>
      </c>
      <c r="N88" s="85" t="b">
        <v>0</v>
      </c>
      <c r="O88" s="85" t="n"/>
      <c r="P88" s="86" t="n"/>
      <c r="Q88" s="87" t="n"/>
      <c r="R88" s="87" t="n"/>
    </row>
    <row r="89" ht="19" customHeight="1">
      <c r="A89" s="83" t="n">
        <v>84</v>
      </c>
      <c r="B89" s="84" t="inlineStr">
        <is>
          <t>案件084</t>
        </is>
      </c>
      <c r="C89" s="88" t="n"/>
      <c r="D89" s="88" t="n"/>
      <c r="E89" s="88" t="n"/>
      <c r="F89" s="88" t="n"/>
      <c r="G89" s="88" t="n"/>
      <c r="H89" s="88" t="n"/>
      <c r="I89" s="88" t="b">
        <v>0</v>
      </c>
      <c r="J89" s="88" t="b">
        <v>0</v>
      </c>
      <c r="K89" s="88" t="b">
        <v>0</v>
      </c>
      <c r="L89" s="88" t="b">
        <v>0</v>
      </c>
      <c r="M89" s="88" t="b">
        <v>0</v>
      </c>
      <c r="N89" s="88" t="b">
        <v>0</v>
      </c>
      <c r="O89" s="88" t="n"/>
      <c r="P89" s="89" t="n"/>
      <c r="Q89" s="90" t="n"/>
      <c r="R89" s="90" t="n"/>
    </row>
    <row r="90" ht="19" customHeight="1">
      <c r="A90" s="83" t="n">
        <v>85</v>
      </c>
      <c r="B90" s="84" t="inlineStr">
        <is>
          <t>案件085</t>
        </is>
      </c>
      <c r="C90" s="85" t="n"/>
      <c r="D90" s="85" t="n"/>
      <c r="E90" s="85" t="n"/>
      <c r="F90" s="85" t="n"/>
      <c r="G90" s="85" t="n"/>
      <c r="H90" s="85" t="n"/>
      <c r="I90" s="85" t="b">
        <v>0</v>
      </c>
      <c r="J90" s="85" t="b">
        <v>0</v>
      </c>
      <c r="K90" s="85" t="b">
        <v>0</v>
      </c>
      <c r="L90" s="85" t="b">
        <v>0</v>
      </c>
      <c r="M90" s="85" t="b">
        <v>0</v>
      </c>
      <c r="N90" s="85" t="b">
        <v>0</v>
      </c>
      <c r="O90" s="85" t="n"/>
      <c r="P90" s="86" t="n"/>
      <c r="Q90" s="87" t="n"/>
      <c r="R90" s="87" t="n"/>
    </row>
    <row r="91" ht="19" customHeight="1">
      <c r="A91" s="83" t="n">
        <v>86</v>
      </c>
      <c r="B91" s="84" t="inlineStr">
        <is>
          <t>案件086</t>
        </is>
      </c>
      <c r="C91" s="88" t="n"/>
      <c r="D91" s="88" t="n"/>
      <c r="E91" s="88" t="n"/>
      <c r="F91" s="88" t="n"/>
      <c r="G91" s="88" t="n"/>
      <c r="H91" s="88" t="n"/>
      <c r="I91" s="88" t="b">
        <v>0</v>
      </c>
      <c r="J91" s="88" t="b">
        <v>0</v>
      </c>
      <c r="K91" s="88" t="b">
        <v>0</v>
      </c>
      <c r="L91" s="88" t="b">
        <v>0</v>
      </c>
      <c r="M91" s="88" t="b">
        <v>0</v>
      </c>
      <c r="N91" s="88" t="b">
        <v>0</v>
      </c>
      <c r="O91" s="88" t="n"/>
      <c r="P91" s="89" t="n"/>
      <c r="Q91" s="90" t="n"/>
      <c r="R91" s="90" t="n"/>
    </row>
    <row r="92" ht="19" customHeight="1">
      <c r="A92" s="83" t="n">
        <v>87</v>
      </c>
      <c r="B92" s="84" t="inlineStr">
        <is>
          <t>案件087</t>
        </is>
      </c>
      <c r="C92" s="85" t="n"/>
      <c r="D92" s="85" t="n"/>
      <c r="E92" s="85" t="n"/>
      <c r="F92" s="85" t="n"/>
      <c r="G92" s="85" t="n"/>
      <c r="H92" s="85" t="n"/>
      <c r="I92" s="85" t="b">
        <v>0</v>
      </c>
      <c r="J92" s="85" t="b">
        <v>0</v>
      </c>
      <c r="K92" s="85" t="b">
        <v>0</v>
      </c>
      <c r="L92" s="85" t="b">
        <v>0</v>
      </c>
      <c r="M92" s="85" t="b">
        <v>0</v>
      </c>
      <c r="N92" s="85" t="b">
        <v>0</v>
      </c>
      <c r="O92" s="85" t="n"/>
      <c r="P92" s="86" t="n"/>
      <c r="Q92" s="87" t="n"/>
      <c r="R92" s="87" t="n"/>
    </row>
    <row r="93" ht="19" customHeight="1">
      <c r="A93" s="83" t="n">
        <v>88</v>
      </c>
      <c r="B93" s="84" t="inlineStr">
        <is>
          <t>案件088</t>
        </is>
      </c>
      <c r="C93" s="88" t="n"/>
      <c r="D93" s="88" t="n"/>
      <c r="E93" s="88" t="n"/>
      <c r="F93" s="88" t="n"/>
      <c r="G93" s="88" t="n"/>
      <c r="H93" s="88" t="n"/>
      <c r="I93" s="88" t="b">
        <v>0</v>
      </c>
      <c r="J93" s="88" t="b">
        <v>0</v>
      </c>
      <c r="K93" s="88" t="b">
        <v>0</v>
      </c>
      <c r="L93" s="88" t="b">
        <v>0</v>
      </c>
      <c r="M93" s="88" t="b">
        <v>0</v>
      </c>
      <c r="N93" s="88" t="b">
        <v>0</v>
      </c>
      <c r="O93" s="88" t="n"/>
      <c r="P93" s="89" t="n"/>
      <c r="Q93" s="90" t="n"/>
      <c r="R93" s="90" t="n"/>
    </row>
    <row r="94" ht="19" customHeight="1">
      <c r="A94" s="83" t="n">
        <v>89</v>
      </c>
      <c r="B94" s="84" t="inlineStr">
        <is>
          <t>案件089</t>
        </is>
      </c>
      <c r="C94" s="85" t="n"/>
      <c r="D94" s="85" t="n"/>
      <c r="E94" s="85" t="n"/>
      <c r="F94" s="85" t="n"/>
      <c r="G94" s="85" t="n"/>
      <c r="H94" s="85" t="n"/>
      <c r="I94" s="85" t="b">
        <v>0</v>
      </c>
      <c r="J94" s="85" t="b">
        <v>0</v>
      </c>
      <c r="K94" s="85" t="b">
        <v>0</v>
      </c>
      <c r="L94" s="85" t="b">
        <v>0</v>
      </c>
      <c r="M94" s="85" t="b">
        <v>0</v>
      </c>
      <c r="N94" s="85" t="b">
        <v>0</v>
      </c>
      <c r="O94" s="85" t="n"/>
      <c r="P94" s="86" t="n"/>
      <c r="Q94" s="87" t="n"/>
      <c r="R94" s="87" t="n"/>
    </row>
    <row r="95" ht="19" customHeight="1">
      <c r="A95" s="83" t="n">
        <v>90</v>
      </c>
      <c r="B95" s="84" t="inlineStr">
        <is>
          <t>案件090</t>
        </is>
      </c>
      <c r="C95" s="88" t="n"/>
      <c r="D95" s="88" t="n"/>
      <c r="E95" s="88" t="n"/>
      <c r="F95" s="88" t="n"/>
      <c r="G95" s="88" t="n"/>
      <c r="H95" s="88" t="n"/>
      <c r="I95" s="88" t="b">
        <v>0</v>
      </c>
      <c r="J95" s="88" t="b">
        <v>0</v>
      </c>
      <c r="K95" s="88" t="b">
        <v>0</v>
      </c>
      <c r="L95" s="88" t="b">
        <v>0</v>
      </c>
      <c r="M95" s="88" t="b">
        <v>0</v>
      </c>
      <c r="N95" s="88" t="b">
        <v>0</v>
      </c>
      <c r="O95" s="88" t="n"/>
      <c r="P95" s="89" t="n"/>
      <c r="Q95" s="90" t="n"/>
      <c r="R95" s="90" t="n"/>
    </row>
    <row r="96" ht="19" customHeight="1">
      <c r="A96" s="83" t="n">
        <v>91</v>
      </c>
      <c r="B96" s="84" t="inlineStr">
        <is>
          <t>案件091</t>
        </is>
      </c>
      <c r="C96" s="85" t="n"/>
      <c r="D96" s="85" t="n"/>
      <c r="E96" s="85" t="n"/>
      <c r="F96" s="85" t="n"/>
      <c r="G96" s="85" t="n"/>
      <c r="H96" s="85" t="n"/>
      <c r="I96" s="85" t="b">
        <v>0</v>
      </c>
      <c r="J96" s="85" t="b">
        <v>0</v>
      </c>
      <c r="K96" s="85" t="b">
        <v>0</v>
      </c>
      <c r="L96" s="85" t="b">
        <v>0</v>
      </c>
      <c r="M96" s="85" t="b">
        <v>0</v>
      </c>
      <c r="N96" s="85" t="b">
        <v>0</v>
      </c>
      <c r="O96" s="85" t="n"/>
      <c r="P96" s="86" t="n"/>
      <c r="Q96" s="87" t="n"/>
      <c r="R96" s="87" t="n"/>
    </row>
    <row r="97" ht="19" customHeight="1">
      <c r="A97" s="83" t="n">
        <v>92</v>
      </c>
      <c r="B97" s="84" t="inlineStr">
        <is>
          <t>案件092</t>
        </is>
      </c>
      <c r="C97" s="88" t="n"/>
      <c r="D97" s="88" t="n"/>
      <c r="E97" s="88" t="n"/>
      <c r="F97" s="88" t="n"/>
      <c r="G97" s="88" t="n"/>
      <c r="H97" s="88" t="n"/>
      <c r="I97" s="88" t="b">
        <v>0</v>
      </c>
      <c r="J97" s="88" t="b">
        <v>0</v>
      </c>
      <c r="K97" s="88" t="b">
        <v>0</v>
      </c>
      <c r="L97" s="88" t="b">
        <v>0</v>
      </c>
      <c r="M97" s="88" t="b">
        <v>0</v>
      </c>
      <c r="N97" s="88" t="b">
        <v>0</v>
      </c>
      <c r="O97" s="88" t="n"/>
      <c r="P97" s="89" t="n"/>
      <c r="Q97" s="90" t="n"/>
      <c r="R97" s="90" t="n"/>
    </row>
    <row r="98" ht="19" customHeight="1">
      <c r="A98" s="83" t="n">
        <v>93</v>
      </c>
      <c r="B98" s="84" t="inlineStr">
        <is>
          <t>案件093</t>
        </is>
      </c>
      <c r="C98" s="85" t="n"/>
      <c r="D98" s="85" t="n"/>
      <c r="E98" s="85" t="n"/>
      <c r="F98" s="85" t="n"/>
      <c r="G98" s="85" t="n"/>
      <c r="H98" s="85" t="n"/>
      <c r="I98" s="85" t="b">
        <v>0</v>
      </c>
      <c r="J98" s="85" t="b">
        <v>0</v>
      </c>
      <c r="K98" s="85" t="b">
        <v>0</v>
      </c>
      <c r="L98" s="85" t="b">
        <v>0</v>
      </c>
      <c r="M98" s="85" t="b">
        <v>0</v>
      </c>
      <c r="N98" s="85" t="b">
        <v>0</v>
      </c>
      <c r="O98" s="85" t="n"/>
      <c r="P98" s="86" t="n"/>
      <c r="Q98" s="87" t="n"/>
      <c r="R98" s="87" t="n"/>
    </row>
    <row r="99" ht="19" customHeight="1">
      <c r="A99" s="83" t="n">
        <v>94</v>
      </c>
      <c r="B99" s="84" t="inlineStr">
        <is>
          <t>案件094</t>
        </is>
      </c>
      <c r="C99" s="88" t="n"/>
      <c r="D99" s="88" t="n"/>
      <c r="E99" s="88" t="n"/>
      <c r="F99" s="88" t="n"/>
      <c r="G99" s="88" t="n"/>
      <c r="H99" s="88" t="n"/>
      <c r="I99" s="88" t="b">
        <v>0</v>
      </c>
      <c r="J99" s="88" t="b">
        <v>0</v>
      </c>
      <c r="K99" s="88" t="b">
        <v>0</v>
      </c>
      <c r="L99" s="88" t="b">
        <v>0</v>
      </c>
      <c r="M99" s="88" t="b">
        <v>0</v>
      </c>
      <c r="N99" s="88" t="b">
        <v>0</v>
      </c>
      <c r="O99" s="88" t="n"/>
      <c r="P99" s="89" t="n"/>
      <c r="Q99" s="90" t="n"/>
      <c r="R99" s="90" t="n"/>
    </row>
    <row r="100" ht="19" customHeight="1">
      <c r="A100" s="83" t="n">
        <v>95</v>
      </c>
      <c r="B100" s="84" t="inlineStr">
        <is>
          <t>案件095</t>
        </is>
      </c>
      <c r="C100" s="85" t="n"/>
      <c r="D100" s="85" t="n"/>
      <c r="E100" s="85" t="n"/>
      <c r="F100" s="85" t="n"/>
      <c r="G100" s="85" t="n"/>
      <c r="H100" s="85" t="n"/>
      <c r="I100" s="85" t="b">
        <v>0</v>
      </c>
      <c r="J100" s="85" t="b">
        <v>0</v>
      </c>
      <c r="K100" s="85" t="b">
        <v>0</v>
      </c>
      <c r="L100" s="85" t="b">
        <v>0</v>
      </c>
      <c r="M100" s="85" t="b">
        <v>0</v>
      </c>
      <c r="N100" s="85" t="b">
        <v>0</v>
      </c>
      <c r="O100" s="85" t="n"/>
      <c r="P100" s="86" t="n"/>
      <c r="Q100" s="87" t="n"/>
      <c r="R100" s="87" t="n"/>
    </row>
    <row r="101" ht="19" customHeight="1">
      <c r="A101" s="83" t="n">
        <v>96</v>
      </c>
      <c r="B101" s="84" t="inlineStr">
        <is>
          <t>案件096</t>
        </is>
      </c>
      <c r="C101" s="88" t="n"/>
      <c r="D101" s="88" t="n"/>
      <c r="E101" s="88" t="n"/>
      <c r="F101" s="88" t="n"/>
      <c r="G101" s="88" t="n"/>
      <c r="H101" s="88" t="n"/>
      <c r="I101" s="88" t="b">
        <v>0</v>
      </c>
      <c r="J101" s="88" t="b">
        <v>0</v>
      </c>
      <c r="K101" s="88" t="b">
        <v>0</v>
      </c>
      <c r="L101" s="88" t="b">
        <v>0</v>
      </c>
      <c r="M101" s="88" t="b">
        <v>0</v>
      </c>
      <c r="N101" s="88" t="b">
        <v>0</v>
      </c>
      <c r="O101" s="88" t="n"/>
      <c r="P101" s="89" t="n"/>
      <c r="Q101" s="90" t="n"/>
      <c r="R101" s="90" t="n"/>
    </row>
    <row r="102" ht="19" customHeight="1">
      <c r="A102" s="83" t="n">
        <v>97</v>
      </c>
      <c r="B102" s="84" t="inlineStr">
        <is>
          <t>案件097</t>
        </is>
      </c>
      <c r="C102" s="85" t="n"/>
      <c r="D102" s="85" t="n"/>
      <c r="E102" s="85" t="n"/>
      <c r="F102" s="85" t="n"/>
      <c r="G102" s="85" t="n"/>
      <c r="H102" s="85" t="n"/>
      <c r="I102" s="85" t="b">
        <v>0</v>
      </c>
      <c r="J102" s="85" t="b">
        <v>0</v>
      </c>
      <c r="K102" s="85" t="b">
        <v>0</v>
      </c>
      <c r="L102" s="85" t="b">
        <v>0</v>
      </c>
      <c r="M102" s="85" t="b">
        <v>0</v>
      </c>
      <c r="N102" s="85" t="b">
        <v>0</v>
      </c>
      <c r="O102" s="85" t="n"/>
      <c r="P102" s="86" t="n"/>
      <c r="Q102" s="87" t="n"/>
      <c r="R102" s="87" t="n"/>
    </row>
    <row r="103" ht="19" customHeight="1">
      <c r="A103" s="83" t="n">
        <v>98</v>
      </c>
      <c r="B103" s="84" t="inlineStr">
        <is>
          <t>案件098</t>
        </is>
      </c>
      <c r="C103" s="88" t="n"/>
      <c r="D103" s="88" t="n"/>
      <c r="E103" s="88" t="n"/>
      <c r="F103" s="88" t="n"/>
      <c r="G103" s="88" t="n"/>
      <c r="H103" s="88" t="n"/>
      <c r="I103" s="88" t="b">
        <v>0</v>
      </c>
      <c r="J103" s="88" t="b">
        <v>0</v>
      </c>
      <c r="K103" s="88" t="b">
        <v>0</v>
      </c>
      <c r="L103" s="88" t="b">
        <v>0</v>
      </c>
      <c r="M103" s="88" t="b">
        <v>0</v>
      </c>
      <c r="N103" s="88" t="b">
        <v>0</v>
      </c>
      <c r="O103" s="88" t="n"/>
      <c r="P103" s="89" t="n"/>
      <c r="Q103" s="90" t="n"/>
      <c r="R103" s="90" t="n"/>
    </row>
    <row r="104" ht="19" customHeight="1">
      <c r="A104" s="83" t="n">
        <v>99</v>
      </c>
      <c r="B104" s="84" t="inlineStr">
        <is>
          <t>案件099</t>
        </is>
      </c>
      <c r="C104" s="85" t="n"/>
      <c r="D104" s="85" t="n"/>
      <c r="E104" s="85" t="n"/>
      <c r="F104" s="85" t="n"/>
      <c r="G104" s="85" t="n"/>
      <c r="H104" s="85" t="n"/>
      <c r="I104" s="85" t="b">
        <v>0</v>
      </c>
      <c r="J104" s="85" t="b">
        <v>0</v>
      </c>
      <c r="K104" s="85" t="b">
        <v>0</v>
      </c>
      <c r="L104" s="85" t="b">
        <v>0</v>
      </c>
      <c r="M104" s="85" t="b">
        <v>0</v>
      </c>
      <c r="N104" s="85" t="b">
        <v>0</v>
      </c>
      <c r="O104" s="85" t="n"/>
      <c r="P104" s="86" t="n"/>
      <c r="Q104" s="87" t="n"/>
      <c r="R104" s="87" t="n"/>
    </row>
    <row r="105" ht="19" customHeight="1">
      <c r="A105" s="83" t="n">
        <v>100</v>
      </c>
      <c r="B105" s="84" t="inlineStr">
        <is>
          <t>案件100</t>
        </is>
      </c>
      <c r="C105" s="88" t="n"/>
      <c r="D105" s="88" t="n"/>
      <c r="E105" s="88" t="n"/>
      <c r="F105" s="88" t="n"/>
      <c r="G105" s="88" t="n"/>
      <c r="H105" s="88" t="n"/>
      <c r="I105" s="88" t="b">
        <v>0</v>
      </c>
      <c r="J105" s="88" t="b">
        <v>0</v>
      </c>
      <c r="K105" s="88" t="b">
        <v>0</v>
      </c>
      <c r="L105" s="88" t="b">
        <v>0</v>
      </c>
      <c r="M105" s="88" t="b">
        <v>0</v>
      </c>
      <c r="N105" s="88" t="b">
        <v>0</v>
      </c>
      <c r="O105" s="88" t="n"/>
      <c r="P105" s="89" t="n"/>
      <c r="Q105" s="90" t="n"/>
      <c r="R105" s="90" t="n"/>
    </row>
  </sheetData>
  <autoFilter ref="A4:R105"/>
  <mergeCells count="3">
    <mergeCell ref="A3:R3"/>
    <mergeCell ref="A2:R2"/>
    <mergeCell ref="A1:R1"/>
  </mergeCells>
  <conditionalFormatting sqref="I6:N105">
    <cfRule type="expression" priority="1" dxfId="8">
      <formula>OR(I6=TRUE,I6="TRUE")</formula>
    </cfRule>
  </conditionalFormatting>
  <conditionalFormatting sqref="O6:O105">
    <cfRule type="cellIs" priority="2" operator="equal" dxfId="8">
      <formula>"可"</formula>
    </cfRule>
    <cfRule type="cellIs" priority="3" operator="equal" dxfId="9">
      <formula>"条件付き"</formula>
    </cfRule>
    <cfRule type="cellIs" priority="4" operator="equal" dxfId="10">
      <formula>"不可"</formula>
    </cfRule>
  </conditionalFormatting>
  <conditionalFormatting sqref="E6:E105">
    <cfRule type="cellIs" priority="5" operator="equal" dxfId="11">
      <formula>"A：標準"</formula>
    </cfRule>
    <cfRule type="cellIs" priority="6" operator="equal" dxfId="12">
      <formula>"B：中程度"</formula>
    </cfRule>
    <cfRule type="cellIs" priority="7" operator="equal" dxfId="13">
      <formula>"C：複雑"</formula>
    </cfRule>
  </conditionalFormatting>
  <conditionalFormatting sqref="A6:B105">
    <cfRule type="expression" priority="8" dxfId="8">
      <formula>AND($C6&lt;&gt;"",OR($I6=TRUE,$I6="TRUE"),OR($J6=TRUE,$J6="TRUE"),OR($K6=TRUE,$K6="TRUE"),OR($L6=TRUE,$L6="TRUE"),OR($M6=TRUE,$M6="TRUE"),OR($N6=TRUE,$N6="TRUE"))</formula>
    </cfRule>
  </conditionalFormatting>
  <conditionalFormatting sqref="Q6:Q105">
    <cfRule type="expression" priority="9" dxfId="14">
      <formula>$Q6&lt;&gt;""</formula>
    </cfRule>
  </conditionalFormatting>
  <conditionalFormatting sqref="P6:P105">
    <cfRule type="expression" priority="10" dxfId="8">
      <formula>$P6&lt;&gt;""</formula>
    </cfRule>
  </conditionalFormatting>
  <dataValidations count="6">
    <dataValidation sqref="E5:E105" showDropDown="0" showInputMessage="0" showErrorMessage="0" allowBlank="1" type="list">
      <formula1>"A：標準,B：中程度,C：複雑"</formula1>
    </dataValidation>
    <dataValidation sqref="F5:F105" showDropDown="0" showInputMessage="0" showErrorMessage="0" allowBlank="1" type="list">
      <formula1>"セルズ給与,freee,マネーフォワード,Excel,顧客独自,その他,未確認"</formula1>
    </dataValidation>
    <dataValidation sqref="G5:G105" showDropDown="0" showInputMessage="0" showErrorMessage="0" allowBlank="1" type="list">
      <formula1>"KING OF TIME,freee,マネーフォワード,Excel,タイムカード,顧客独自フォーマット,その他,未確認"</formula1>
    </dataValidation>
    <dataValidation sqref="H5:H105" showDropDown="0" showInputMessage="0" showErrorMessage="0" allowBlank="1" type="list">
      <formula1>"Word,Excel,未確認"</formula1>
    </dataValidation>
    <dataValidation sqref="O5:O105" showDropDown="0" showInputMessage="0" showErrorMessage="0" allowBlank="1" type="list">
      <formula1>"可,条件付き,不可"</formula1>
    </dataValidation>
    <dataValidation sqref="I5:N105" showDropDown="0" showInputMessage="0" showErrorMessage="0" allowBlank="1" type="list">
      <formula1>"TRUE,FALSE"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T70"/>
  <sheetViews>
    <sheetView showGridLines="0" zoomScale="85" workbookViewId="0">
      <pane ySplit="4" topLeftCell="A5" activePane="bottomLeft" state="frozen"/>
      <selection pane="bottomLeft"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34" customHeight="1">
      <c r="A1" s="1" t="inlineStr">
        <is>
          <t>KPI・リスク管理　／　10月完全移行ダッシュボード</t>
        </is>
      </c>
      <c r="B1" s="2" t="n"/>
      <c r="C1" s="2" t="n"/>
      <c r="D1" s="2" t="n"/>
      <c r="E1" s="2" t="n"/>
      <c r="F1" s="2" t="n"/>
      <c r="G1" s="2" t="n"/>
      <c r="H1" s="2" t="n"/>
      <c r="I1" s="2" t="n"/>
      <c r="J1" s="2" t="n"/>
      <c r="K1" s="2" t="n"/>
      <c r="L1" s="2" t="n"/>
      <c r="M1" s="2" t="n"/>
      <c r="N1" s="2" t="n"/>
      <c r="O1" s="2" t="n"/>
      <c r="P1" s="2" t="n"/>
      <c r="Q1" s="2" t="n"/>
      <c r="R1" s="2" t="n"/>
      <c r="S1" s="2" t="n"/>
      <c r="T1" s="2" t="n"/>
    </row>
    <row r="2" ht="20" customHeight="1">
      <c r="A2" s="3" t="inlineStr">
        <is>
          <t>KPIは「案件進捗管理」シート（6行目～105行目）から自動集計されます。週次の実績（累計件数・稼働時間）と運用体制の確保人数のみ手入力してください。</t>
        </is>
      </c>
      <c r="B2" s="4" t="n"/>
      <c r="C2" s="4" t="n"/>
      <c r="D2" s="4" t="n"/>
      <c r="E2" s="4" t="n"/>
      <c r="F2" s="4" t="n"/>
      <c r="G2" s="4" t="n"/>
      <c r="H2" s="4" t="n"/>
      <c r="I2" s="4" t="n"/>
      <c r="J2" s="4" t="n"/>
      <c r="K2" s="4" t="n"/>
      <c r="L2" s="4" t="n"/>
      <c r="M2" s="4" t="n"/>
      <c r="N2" s="4" t="n"/>
      <c r="O2" s="4" t="n"/>
      <c r="P2" s="4" t="n"/>
      <c r="Q2" s="4" t="n"/>
      <c r="R2" s="4" t="n"/>
      <c r="S2" s="4" t="n"/>
      <c r="T2" s="4" t="n"/>
    </row>
    <row r="3" ht="18" customHeight="1">
      <c r="A3" s="5" t="inlineStr">
        <is>
          <t>※「計画累計引き継ぎ件数」「計画稼働時間」「想定人数4名」は現時点の計画値・試算値であり、確定実績ではありません。</t>
        </is>
      </c>
    </row>
    <row r="5" ht="22" customHeight="1">
      <c r="A5" s="91" t="inlineStr">
        <is>
          <t>①　KPIサマリー（自動集計 ／ 集計元：案件進捗管理シート）</t>
        </is>
      </c>
      <c r="B5" s="92" t="n"/>
      <c r="C5" s="92" t="n"/>
      <c r="D5" s="92" t="n"/>
      <c r="E5" s="92" t="n"/>
      <c r="F5" s="92" t="n"/>
      <c r="G5" s="92" t="n"/>
      <c r="H5" s="92" t="n"/>
      <c r="I5" s="92" t="n"/>
      <c r="J5" s="92" t="n"/>
      <c r="K5" s="92" t="n"/>
      <c r="L5" s="92" t="n"/>
      <c r="M5" s="92" t="n"/>
      <c r="N5" s="92" t="n"/>
      <c r="O5" s="92" t="n"/>
      <c r="P5" s="92" t="n"/>
      <c r="Q5" s="92" t="n"/>
      <c r="R5" s="92" t="n"/>
      <c r="S5" s="92" t="n"/>
      <c r="T5" s="92" t="n"/>
    </row>
    <row r="6" ht="26" customHeight="1">
      <c r="B6" s="93" t="inlineStr">
        <is>
          <t>総案件数</t>
        </is>
      </c>
      <c r="C6" s="94" t="n"/>
      <c r="D6" s="94" t="n"/>
      <c r="E6" s="95" t="n"/>
      <c r="G6" s="93" t="inlineStr">
        <is>
          <t>引き継ぎ完了件数</t>
        </is>
      </c>
      <c r="H6" s="94" t="n"/>
      <c r="I6" s="94" t="n"/>
      <c r="J6" s="95" t="n"/>
      <c r="L6" s="93" t="inlineStr">
        <is>
          <t>引き継ぎ率</t>
        </is>
      </c>
      <c r="M6" s="94" t="n"/>
      <c r="N6" s="94" t="n"/>
      <c r="O6" s="95" t="n"/>
      <c r="Q6" s="93" t="inlineStr">
        <is>
          <t>未引き継ぎ件数</t>
        </is>
      </c>
      <c r="R6" s="94" t="n"/>
      <c r="S6" s="94" t="n"/>
      <c r="T6" s="95" t="n"/>
    </row>
    <row r="7" ht="34" customHeight="1">
      <c r="B7" s="96">
        <f>COUNTA('案件進捗管理'!$B$6:$B$105)</f>
        <v/>
      </c>
      <c r="C7" s="97" t="n"/>
      <c r="D7" s="97" t="n"/>
      <c r="E7" s="98" t="n"/>
      <c r="G7" s="96">
        <f>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f>
        <v/>
      </c>
      <c r="H7" s="97" t="n"/>
      <c r="I7" s="97" t="n"/>
      <c r="J7" s="98" t="n"/>
      <c r="L7" s="99">
        <f>IFERROR(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COUNTA('案件進捗管理'!$B$6:$B$105),0)</f>
        <v/>
      </c>
      <c r="M7" s="97" t="n"/>
      <c r="N7" s="97" t="n"/>
      <c r="O7" s="98" t="n"/>
      <c r="Q7" s="96">
        <f>COUNTA('案件進捗管理'!$B$6:$B$105)-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f>
        <v/>
      </c>
      <c r="R7" s="97" t="n"/>
      <c r="S7" s="97" t="n"/>
      <c r="T7" s="98" t="n"/>
    </row>
    <row r="8" ht="20" customHeight="1">
      <c r="B8" s="100" t="inlineStr">
        <is>
          <t>移行対象の全案件数</t>
        </is>
      </c>
      <c r="C8" s="101" t="n"/>
      <c r="D8" s="101" t="n"/>
      <c r="E8" s="102" t="n"/>
      <c r="G8" s="100" t="inlineStr">
        <is>
          <t>8項目すべて充足＋担当者確定の案件</t>
        </is>
      </c>
      <c r="H8" s="101" t="n"/>
      <c r="I8" s="101" t="n"/>
      <c r="J8" s="102" t="n"/>
      <c r="L8" s="100" t="inlineStr">
        <is>
          <t>引き継ぎ完了件数 ÷ 総案件数</t>
        </is>
      </c>
      <c r="M8" s="101" t="n"/>
      <c r="N8" s="101" t="n"/>
      <c r="O8" s="102" t="n"/>
      <c r="Q8" s="100" t="inlineStr">
        <is>
          <t>9/27までにゼロにする</t>
        </is>
      </c>
      <c r="R8" s="101" t="n"/>
      <c r="S8" s="101" t="n"/>
      <c r="T8" s="102" t="n"/>
    </row>
    <row r="9" ht="7" customHeight="1"/>
    <row r="10" ht="26" customHeight="1">
      <c r="B10" s="93" t="inlineStr">
        <is>
          <t>単独運用可能件数</t>
        </is>
      </c>
      <c r="C10" s="94" t="n"/>
      <c r="D10" s="94" t="n"/>
      <c r="E10" s="95" t="n"/>
      <c r="G10" s="93" t="inlineStr">
        <is>
          <t>単独運用率</t>
        </is>
      </c>
      <c r="H10" s="94" t="n"/>
      <c r="I10" s="94" t="n"/>
      <c r="J10" s="95" t="n"/>
      <c r="L10" s="103" t="inlineStr">
        <is>
          <t>要確認案件数</t>
        </is>
      </c>
      <c r="M10" s="104" t="n"/>
      <c r="N10" s="104" t="n"/>
      <c r="O10" s="105" t="n"/>
      <c r="Q10" s="106" t="inlineStr">
        <is>
          <t>遅延案件数</t>
        </is>
      </c>
      <c r="R10" s="107" t="n"/>
      <c r="S10" s="107" t="n"/>
      <c r="T10" s="108" t="n"/>
    </row>
    <row r="11" ht="34" customHeight="1">
      <c r="B11" s="96">
        <f>COUNTIF('案件進捗管理'!$O$6:$O$105,"可")</f>
        <v/>
      </c>
      <c r="C11" s="97" t="n"/>
      <c r="D11" s="97" t="n"/>
      <c r="E11" s="98" t="n"/>
      <c r="G11" s="99">
        <f>IFERROR(COUNTIF('案件進捗管理'!$O$6:$O$105,"可")/COUNTA('案件進捗管理'!$B$6:$B$105),0)</f>
        <v/>
      </c>
      <c r="H11" s="97" t="n"/>
      <c r="I11" s="97" t="n"/>
      <c r="J11" s="98" t="n"/>
      <c r="L11" s="109">
        <f>COUNTA('案件進捗管理'!$Q$6:$Q$105)</f>
        <v/>
      </c>
      <c r="M11" s="97" t="n"/>
      <c r="N11" s="97" t="n"/>
      <c r="O11" s="110" t="n"/>
      <c r="Q11" s="111">
        <f>IF(TODAY()&gt;DATE(2026,9,27),COUNTA('案件進捗管理'!$B$6:$B$105)-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0)</f>
        <v/>
      </c>
      <c r="R11" s="97" t="n"/>
      <c r="S11" s="97" t="n"/>
      <c r="T11" s="112" t="n"/>
    </row>
    <row r="12" ht="20" customHeight="1">
      <c r="B12" s="100" t="inlineStr">
        <is>
          <t>単独運用可否＝「可」の件数</t>
        </is>
      </c>
      <c r="C12" s="101" t="n"/>
      <c r="D12" s="101" t="n"/>
      <c r="E12" s="102" t="n"/>
      <c r="G12" s="100" t="inlineStr">
        <is>
          <t>単独運用可能件数 ÷ 総案件数</t>
        </is>
      </c>
      <c r="H12" s="101" t="n"/>
      <c r="I12" s="101" t="n"/>
      <c r="J12" s="102" t="n"/>
      <c r="L12" s="113" t="inlineStr">
        <is>
          <t>「課題」欄に記載がある案件</t>
        </is>
      </c>
      <c r="M12" s="114" t="n"/>
      <c r="N12" s="114" t="n"/>
      <c r="O12" s="115" t="n"/>
      <c r="Q12" s="116" t="inlineStr">
        <is>
          <t>9/27（引き継ぎ完了期限）超過時の未引き継ぎ件数</t>
        </is>
      </c>
      <c r="R12" s="117" t="n"/>
      <c r="S12" s="117" t="n"/>
      <c r="T12" s="118" t="n"/>
    </row>
    <row r="13" ht="7" customHeight="1"/>
    <row r="14" ht="26" customHeight="1">
      <c r="B14" s="93" t="inlineStr">
        <is>
          <t>今週の実績稼働時間</t>
        </is>
      </c>
      <c r="C14" s="94" t="n"/>
      <c r="D14" s="94" t="n"/>
      <c r="E14" s="95" t="n"/>
      <c r="G14" s="93" t="inlineStr">
        <is>
          <t>累計実績稼働時間</t>
        </is>
      </c>
      <c r="H14" s="94" t="n"/>
      <c r="I14" s="94" t="n"/>
      <c r="J14" s="95" t="n"/>
      <c r="L14" s="93" t="inlineStr">
        <is>
          <t>1件あたり平均引き継ぎ工数</t>
        </is>
      </c>
      <c r="M14" s="94" t="n"/>
      <c r="N14" s="94" t="n"/>
      <c r="O14" s="95" t="n"/>
      <c r="Q14" s="93" t="inlineStr">
        <is>
          <t>計画総工数（計画値）</t>
        </is>
      </c>
      <c r="R14" s="94" t="n"/>
      <c r="S14" s="94" t="n"/>
      <c r="T14" s="95" t="n"/>
    </row>
    <row r="15" ht="34" customHeight="1">
      <c r="B15" s="119">
        <f>IFERROR(INDEX($R$25:$R$30,MATCH(TODAY(),$D$25:$D$30,1)),0)</f>
        <v/>
      </c>
      <c r="C15" s="97" t="n"/>
      <c r="D15" s="97" t="n"/>
      <c r="E15" s="98" t="n"/>
      <c r="G15" s="119">
        <f>SUM($R$25:$R$30)</f>
        <v/>
      </c>
      <c r="H15" s="97" t="n"/>
      <c r="I15" s="97" t="n"/>
      <c r="J15" s="98" t="n"/>
      <c r="L15" s="120">
        <f>IF(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0,0,SUM($R$25:$R$30)/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f>
        <v/>
      </c>
      <c r="M15" s="97" t="n"/>
      <c r="N15" s="97" t="n"/>
      <c r="O15" s="98" t="n"/>
      <c r="Q15" s="121">
        <f>SUM($P$25:$P$30)</f>
        <v/>
      </c>
      <c r="R15" s="97" t="n"/>
      <c r="S15" s="97" t="n"/>
      <c r="T15" s="98" t="n"/>
    </row>
    <row r="16" ht="20" customHeight="1">
      <c r="B16" s="100" t="inlineStr">
        <is>
          <t>本日が属する週の実績稼働時間</t>
        </is>
      </c>
      <c r="C16" s="101" t="n"/>
      <c r="D16" s="101" t="n"/>
      <c r="E16" s="102" t="n"/>
      <c r="G16" s="100" t="inlineStr">
        <is>
          <t>週次実績の合計（手入力値）</t>
        </is>
      </c>
      <c r="H16" s="101" t="n"/>
      <c r="I16" s="101" t="n"/>
      <c r="J16" s="102" t="n"/>
      <c r="L16" s="100" t="inlineStr">
        <is>
          <t>累計実績稼働時間 ÷ 引き継ぎ完了件数</t>
        </is>
      </c>
      <c r="M16" s="101" t="n"/>
      <c r="N16" s="101" t="n"/>
      <c r="O16" s="102" t="n"/>
      <c r="Q16" s="100" t="inlineStr">
        <is>
          <t>4名体制・1名あたり約120時間の試算値</t>
        </is>
      </c>
      <c r="R16" s="101" t="n"/>
      <c r="S16" s="101" t="n"/>
      <c r="T16" s="102" t="n"/>
    </row>
    <row r="17" ht="7" customHeight="1"/>
    <row r="18" ht="22" customHeight="1">
      <c r="A18" s="91" t="inlineStr">
        <is>
          <t>②　10月完全移行 判定（管理ルールに基づく自動判定）</t>
        </is>
      </c>
      <c r="B18" s="92" t="n"/>
      <c r="C18" s="92" t="n"/>
      <c r="D18" s="92" t="n"/>
      <c r="E18" s="92" t="n"/>
      <c r="F18" s="92" t="n"/>
      <c r="G18" s="92" t="n"/>
      <c r="H18" s="92" t="n"/>
      <c r="I18" s="92" t="n"/>
      <c r="J18" s="92" t="n"/>
      <c r="K18" s="92" t="n"/>
      <c r="L18" s="92" t="n"/>
      <c r="M18" s="92" t="n"/>
      <c r="N18" s="92" t="n"/>
      <c r="O18" s="92" t="n"/>
      <c r="P18" s="92" t="n"/>
      <c r="Q18" s="92" t="n"/>
      <c r="R18" s="92" t="n"/>
      <c r="S18" s="92" t="n"/>
      <c r="T18" s="92" t="n"/>
    </row>
    <row r="19">
      <c r="B19" s="48" t="inlineStr">
        <is>
          <t>①　引き継ぎ完了判定　（基準日：2026/9/27）</t>
        </is>
      </c>
      <c r="C19" s="49" t="n"/>
      <c r="D19" s="49" t="n"/>
      <c r="E19" s="49" t="n"/>
      <c r="F19" s="49" t="n"/>
      <c r="G19" s="49" t="n"/>
      <c r="H19" s="49" t="n"/>
      <c r="I19" s="49" t="n"/>
      <c r="K19" s="48" t="inlineStr">
        <is>
          <t>②　運用体制 確保判定　（基準日：2026/8/30）</t>
        </is>
      </c>
      <c r="L19" s="49" t="n"/>
      <c r="M19" s="49" t="n"/>
      <c r="N19" s="49" t="n"/>
      <c r="O19" s="49" t="n"/>
      <c r="P19" s="49" t="n"/>
      <c r="Q19" s="49" t="n"/>
      <c r="R19" s="49" t="n"/>
      <c r="S19" s="122" t="inlineStr">
        <is>
          <t>確保済み人数
【入力】</t>
        </is>
      </c>
      <c r="T19" s="49" t="n"/>
    </row>
    <row r="20" ht="22" customHeight="1">
      <c r="B20" s="123">
        <f>IF(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gt;=COUNTA('案件進捗管理'!$B$6:$B$105),"OK：100件の引き継ぎ完了　→　10月1日 完全移行 可能",IF(TODAY()&gt;DATE(2026,9,27),"リスクあり：9/27時点で引き継ぎ未完了（残 "&amp;(COUNTA('案件進捗管理'!$B$6:$B$105)-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amp;" 件）","計画進行中：残 "&amp;(COUNTA('案件進捗管理'!$B$6:$B$105)-SUMPRODUCT(('案件進捗管理'!$C$6:$C$105&lt;&gt;"")*(('案件進捗管理'!$I$6:$I$105=TRUE)+('案件進捗管理'!$I$6:$I$105="TRUE")&gt;0)*(('案件進捗管理'!$J$6:$J$105=TRUE)+('案件進捗管理'!$J$6:$J$105="TRUE")&gt;0)*(('案件進捗管理'!$K$6:$K$105=TRUE)+('案件進捗管理'!$K$6:$K$105="TRUE")&gt;0)*(('案件進捗管理'!$L$6:$L$105=TRUE)+('案件進捗管理'!$L$6:$L$105="TRUE")&gt;0)*(('案件進捗管理'!$M$6:$M$105=TRUE)+('案件進捗管理'!$M$6:$M$105="TRUE")&gt;0)*(('案件進捗管理'!$N$6:$N$105=TRUE)+('案件進捗管理'!$N$6:$N$105="TRUE")&gt;0)))&amp;" 件（完了期限 2026/9/27）"))</f>
        <v/>
      </c>
      <c r="C20" s="34" t="n"/>
      <c r="D20" s="34" t="n"/>
      <c r="E20" s="34" t="n"/>
      <c r="F20" s="34" t="n"/>
      <c r="G20" s="34" t="n"/>
      <c r="H20" s="34" t="n"/>
      <c r="I20" s="34" t="n"/>
      <c r="K20" s="123">
        <f>IF($S$20&gt;=3,"OK：運用体制 確保済み（"&amp;$S$20&amp;"名）",IF(TODAY()&gt;DATE(2026,8,30),"要再計画：8/30時点で3～4名の体制が未確保","体制確保 調整中（目標4名・現在 "&amp;$S$20&amp;"名）"))</f>
        <v/>
      </c>
      <c r="L20" s="34" t="n"/>
      <c r="M20" s="34" t="n"/>
      <c r="N20" s="34" t="n"/>
      <c r="O20" s="34" t="n"/>
      <c r="P20" s="34" t="n"/>
      <c r="Q20" s="34" t="n"/>
      <c r="R20" s="34" t="n"/>
      <c r="S20" s="124" t="n">
        <v>0</v>
      </c>
      <c r="T20" s="125" t="n"/>
    </row>
    <row r="21" ht="22" customHeight="1">
      <c r="B21" s="34" t="n"/>
      <c r="C21" s="34" t="n"/>
      <c r="D21" s="34" t="n"/>
      <c r="E21" s="34" t="n"/>
      <c r="F21" s="34" t="n"/>
      <c r="G21" s="34" t="n"/>
      <c r="H21" s="34" t="n"/>
      <c r="I21" s="34" t="n"/>
      <c r="K21" s="34" t="n"/>
      <c r="L21" s="34" t="n"/>
      <c r="M21" s="34" t="n"/>
      <c r="N21" s="34" t="n"/>
      <c r="O21" s="34" t="n"/>
      <c r="P21" s="34" t="n"/>
      <c r="Q21" s="34" t="n"/>
      <c r="R21" s="34" t="n"/>
      <c r="S21" s="125" t="n"/>
      <c r="T21" s="125" t="n"/>
    </row>
    <row r="23" ht="22" customHeight="1">
      <c r="A23" s="91" t="inlineStr">
        <is>
          <t>③　週次 計画／実績 管理（薄い黄色セルのみ手入力）</t>
        </is>
      </c>
      <c r="B23" s="92" t="n"/>
      <c r="C23" s="92" t="n"/>
      <c r="D23" s="92" t="n"/>
      <c r="E23" s="92" t="n"/>
      <c r="F23" s="92" t="n"/>
      <c r="G23" s="92" t="n"/>
      <c r="H23" s="92" t="n"/>
      <c r="I23" s="92" t="n"/>
      <c r="J23" s="92" t="n"/>
      <c r="K23" s="92" t="n"/>
      <c r="L23" s="92" t="n"/>
      <c r="M23" s="92" t="n"/>
      <c r="N23" s="92" t="n"/>
      <c r="O23" s="92" t="n"/>
      <c r="P23" s="92" t="n"/>
      <c r="Q23" s="92" t="n"/>
      <c r="R23" s="92" t="n"/>
      <c r="S23" s="92" t="n"/>
      <c r="T23" s="92" t="n"/>
    </row>
    <row r="24" ht="42" customHeight="1">
      <c r="B24" s="50" t="inlineStr">
        <is>
          <t>週</t>
        </is>
      </c>
      <c r="C24" s="53" t="n"/>
      <c r="D24" s="50" t="inlineStr">
        <is>
          <t>期間開始日
（計画）</t>
        </is>
      </c>
      <c r="E24" s="53" t="n"/>
      <c r="F24" s="50" t="inlineStr">
        <is>
          <t>期間終了日
（計画）</t>
        </is>
      </c>
      <c r="G24" s="53" t="n"/>
      <c r="H24" s="50" t="inlineStr">
        <is>
          <t>計画累計
引き継ぎ件数</t>
        </is>
      </c>
      <c r="I24" s="53" t="n"/>
      <c r="J24" s="50" t="inlineStr">
        <is>
          <t>計画進捗率</t>
        </is>
      </c>
      <c r="K24" s="53" t="n"/>
      <c r="L24" s="50" t="inlineStr">
        <is>
          <t>実績累計
引き継ぎ件数
【入力】</t>
        </is>
      </c>
      <c r="M24" s="53" t="n"/>
      <c r="N24" s="50" t="inlineStr">
        <is>
          <t>実績進捗率</t>
        </is>
      </c>
      <c r="O24" s="53" t="n"/>
      <c r="P24" s="50" t="inlineStr">
        <is>
          <t>計画稼働時間
（計画値）</t>
        </is>
      </c>
      <c r="Q24" s="53" t="n"/>
      <c r="R24" s="50" t="inlineStr">
        <is>
          <t>実績稼働時間
【入力】</t>
        </is>
      </c>
      <c r="S24" s="53" t="n"/>
      <c r="T24" s="50" t="inlineStr">
        <is>
          <t>差異
(実績-計画)</t>
        </is>
      </c>
    </row>
    <row r="25" ht="22" customHeight="1">
      <c r="B25" s="126" t="inlineStr">
        <is>
          <t>第1週</t>
        </is>
      </c>
      <c r="C25" s="127" t="n"/>
      <c r="D25" s="128" t="n">
        <v>46258</v>
      </c>
      <c r="E25" s="127" t="n"/>
      <c r="F25" s="128" t="n">
        <v>46264</v>
      </c>
      <c r="G25" s="127" t="n"/>
      <c r="H25" s="129" t="n">
        <v>10</v>
      </c>
      <c r="I25" s="127" t="n"/>
      <c r="J25" s="130">
        <f>H25/$B$7</f>
        <v/>
      </c>
      <c r="K25" s="36" t="n"/>
      <c r="L25" s="131" t="n"/>
      <c r="M25" s="125" t="n"/>
      <c r="N25" s="132">
        <f>IF(L25="","",L25/$B$7)</f>
        <v/>
      </c>
      <c r="O25" s="36" t="n"/>
      <c r="P25" s="133" t="n">
        <v>60</v>
      </c>
      <c r="Q25" s="127" t="n"/>
      <c r="R25" s="134" t="n"/>
      <c r="S25" s="125" t="n"/>
      <c r="T25" s="135">
        <f>IF(R25="","",R25-P25)</f>
        <v/>
      </c>
    </row>
    <row r="26" ht="22" customHeight="1">
      <c r="B26" s="126" t="inlineStr">
        <is>
          <t>第2週</t>
        </is>
      </c>
      <c r="C26" s="127" t="n"/>
      <c r="D26" s="128" t="n">
        <v>46265</v>
      </c>
      <c r="E26" s="127" t="n"/>
      <c r="F26" s="128" t="n">
        <v>46271</v>
      </c>
      <c r="G26" s="127" t="n"/>
      <c r="H26" s="129" t="n">
        <v>30</v>
      </c>
      <c r="I26" s="127" t="n"/>
      <c r="J26" s="130">
        <f>H26/$B$7</f>
        <v/>
      </c>
      <c r="K26" s="36" t="n"/>
      <c r="L26" s="131" t="n"/>
      <c r="M26" s="125" t="n"/>
      <c r="N26" s="132">
        <f>IF(L26="","",L26/$B$7)</f>
        <v/>
      </c>
      <c r="O26" s="36" t="n"/>
      <c r="P26" s="133" t="n">
        <v>90</v>
      </c>
      <c r="Q26" s="127" t="n"/>
      <c r="R26" s="134" t="n"/>
      <c r="S26" s="125" t="n"/>
      <c r="T26" s="135">
        <f>IF(R26="","",R26-P26)</f>
        <v/>
      </c>
    </row>
    <row r="27" ht="22" customHeight="1">
      <c r="B27" s="126" t="inlineStr">
        <is>
          <t>第3週</t>
        </is>
      </c>
      <c r="C27" s="127" t="n"/>
      <c r="D27" s="128" t="n">
        <v>46272</v>
      </c>
      <c r="E27" s="127" t="n"/>
      <c r="F27" s="128" t="n">
        <v>46278</v>
      </c>
      <c r="G27" s="127" t="n"/>
      <c r="H27" s="129" t="n">
        <v>55</v>
      </c>
      <c r="I27" s="127" t="n"/>
      <c r="J27" s="130">
        <f>H27/$B$7</f>
        <v/>
      </c>
      <c r="K27" s="36" t="n"/>
      <c r="L27" s="131" t="n"/>
      <c r="M27" s="125" t="n"/>
      <c r="N27" s="132">
        <f>IF(L27="","",L27/$B$7)</f>
        <v/>
      </c>
      <c r="O27" s="36" t="n"/>
      <c r="P27" s="133" t="n">
        <v>100</v>
      </c>
      <c r="Q27" s="127" t="n"/>
      <c r="R27" s="134" t="n"/>
      <c r="S27" s="125" t="n"/>
      <c r="T27" s="135">
        <f>IF(R27="","",R27-P27)</f>
        <v/>
      </c>
    </row>
    <row r="28" ht="22" customHeight="1">
      <c r="B28" s="126" t="inlineStr">
        <is>
          <t>第4週</t>
        </is>
      </c>
      <c r="C28" s="127" t="n"/>
      <c r="D28" s="128" t="n">
        <v>46279</v>
      </c>
      <c r="E28" s="127" t="n"/>
      <c r="F28" s="128" t="n">
        <v>46285</v>
      </c>
      <c r="G28" s="127" t="n"/>
      <c r="H28" s="129" t="n">
        <v>80</v>
      </c>
      <c r="I28" s="127" t="n"/>
      <c r="J28" s="130">
        <f>H28/$B$7</f>
        <v/>
      </c>
      <c r="K28" s="36" t="n"/>
      <c r="L28" s="131" t="n"/>
      <c r="M28" s="125" t="n"/>
      <c r="N28" s="132">
        <f>IF(L28="","",L28/$B$7)</f>
        <v/>
      </c>
      <c r="O28" s="36" t="n"/>
      <c r="P28" s="133" t="n">
        <v>100</v>
      </c>
      <c r="Q28" s="127" t="n"/>
      <c r="R28" s="134" t="n"/>
      <c r="S28" s="125" t="n"/>
      <c r="T28" s="135">
        <f>IF(R28="","",R28-P28)</f>
        <v/>
      </c>
    </row>
    <row r="29" ht="22" customHeight="1">
      <c r="B29" s="126" t="inlineStr">
        <is>
          <t>第5週</t>
        </is>
      </c>
      <c r="C29" s="127" t="n"/>
      <c r="D29" s="128" t="n">
        <v>46286</v>
      </c>
      <c r="E29" s="127" t="n"/>
      <c r="F29" s="128" t="n">
        <v>46292</v>
      </c>
      <c r="G29" s="127" t="n"/>
      <c r="H29" s="129" t="n">
        <v>100</v>
      </c>
      <c r="I29" s="127" t="n"/>
      <c r="J29" s="130">
        <f>H29/$B$7</f>
        <v/>
      </c>
      <c r="K29" s="36" t="n"/>
      <c r="L29" s="131" t="n"/>
      <c r="M29" s="125" t="n"/>
      <c r="N29" s="132">
        <f>IF(L29="","",L29/$B$7)</f>
        <v/>
      </c>
      <c r="O29" s="36" t="n"/>
      <c r="P29" s="133" t="n">
        <v>80</v>
      </c>
      <c r="Q29" s="127" t="n"/>
      <c r="R29" s="134" t="n"/>
      <c r="S29" s="125" t="n"/>
      <c r="T29" s="135">
        <f>IF(R29="","",R29-P29)</f>
        <v/>
      </c>
    </row>
    <row r="30" ht="22" customHeight="1">
      <c r="B30" s="126" t="inlineStr">
        <is>
          <t>第6週</t>
        </is>
      </c>
      <c r="C30" s="127" t="n"/>
      <c r="D30" s="128" t="n">
        <v>46293</v>
      </c>
      <c r="E30" s="127" t="n"/>
      <c r="F30" s="128" t="n">
        <v>46295</v>
      </c>
      <c r="G30" s="127" t="n"/>
      <c r="H30" s="129" t="n">
        <v>100</v>
      </c>
      <c r="I30" s="127" t="n"/>
      <c r="J30" s="130">
        <f>H30/$B$7</f>
        <v/>
      </c>
      <c r="K30" s="36" t="n"/>
      <c r="L30" s="131" t="n"/>
      <c r="M30" s="125" t="n"/>
      <c r="N30" s="132">
        <f>IF(L30="","",L30/$B$7)</f>
        <v/>
      </c>
      <c r="O30" s="36" t="n"/>
      <c r="P30" s="133" t="n">
        <v>50</v>
      </c>
      <c r="Q30" s="127" t="n"/>
      <c r="R30" s="134" t="n"/>
      <c r="S30" s="125" t="n"/>
      <c r="T30" s="135">
        <f>IF(R30="","",R30-P30)</f>
        <v/>
      </c>
    </row>
    <row r="31" ht="24" customHeight="1">
      <c r="B31" s="136" t="inlineStr">
        <is>
          <t>合計 / 最終</t>
        </is>
      </c>
      <c r="C31" s="49" t="n"/>
      <c r="D31" s="49" t="n"/>
      <c r="E31" s="49" t="n"/>
      <c r="F31" s="49" t="n"/>
      <c r="G31" s="49" t="n"/>
      <c r="H31" s="136">
        <f>MAX(H25:H30)</f>
        <v/>
      </c>
      <c r="I31" s="49" t="n"/>
      <c r="J31" s="137">
        <f>H31/$B$7</f>
        <v/>
      </c>
      <c r="K31" s="49" t="n"/>
      <c r="L31" s="136">
        <f>IF(COUNT(L25:L30)=0,"",MAX(L25:L30))</f>
        <v/>
      </c>
      <c r="M31" s="49" t="n"/>
      <c r="N31" s="137">
        <f>IF(L31="","",L31/$B$7)</f>
        <v/>
      </c>
      <c r="O31" s="49" t="n"/>
      <c r="P31" s="138">
        <f>SUM(P25:P30)</f>
        <v/>
      </c>
      <c r="Q31" s="49" t="n"/>
      <c r="R31" s="139">
        <f>SUM(R25:R30)</f>
        <v/>
      </c>
      <c r="S31" s="49" t="n"/>
      <c r="T31" s="140">
        <f>R31-P31</f>
        <v/>
      </c>
    </row>
    <row r="33" ht="22" customHeight="1">
      <c r="A33" s="91" t="inlineStr">
        <is>
          <t>④　計画進捗率 vs 実績進捗率（実績は上表の「実績累計引き継ぎ件数」を入力すると反映されます）</t>
        </is>
      </c>
      <c r="B33" s="92" t="n"/>
      <c r="C33" s="92" t="n"/>
      <c r="D33" s="92" t="n"/>
      <c r="E33" s="92" t="n"/>
      <c r="F33" s="92" t="n"/>
      <c r="G33" s="92" t="n"/>
      <c r="H33" s="92" t="n"/>
      <c r="I33" s="92" t="n"/>
      <c r="J33" s="92" t="n"/>
      <c r="K33" s="92" t="n"/>
      <c r="L33" s="92" t="n"/>
      <c r="M33" s="92" t="n"/>
      <c r="N33" s="92" t="n"/>
      <c r="O33" s="92" t="n"/>
      <c r="P33" s="92" t="n"/>
      <c r="Q33" s="92" t="n"/>
      <c r="R33" s="92" t="n"/>
      <c r="S33" s="92" t="n"/>
      <c r="T33" s="92" t="n"/>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4" ht="22" customHeight="1">
      <c r="A54" s="91" t="inlineStr">
        <is>
          <t>⑤　リスク管理（初期登録済み ／ 対応状況は手入力）</t>
        </is>
      </c>
      <c r="B54" s="92" t="n"/>
      <c r="C54" s="92" t="n"/>
      <c r="D54" s="92" t="n"/>
      <c r="E54" s="92" t="n"/>
      <c r="F54" s="92" t="n"/>
      <c r="G54" s="92" t="n"/>
      <c r="H54" s="92" t="n"/>
      <c r="I54" s="92" t="n"/>
      <c r="J54" s="92" t="n"/>
      <c r="K54" s="92" t="n"/>
      <c r="L54" s="92" t="n"/>
      <c r="M54" s="92" t="n"/>
      <c r="N54" s="92" t="n"/>
      <c r="O54" s="92" t="n"/>
      <c r="P54" s="92" t="n"/>
      <c r="Q54" s="92" t="n"/>
      <c r="R54" s="92" t="n"/>
      <c r="S54" s="92" t="n"/>
      <c r="T54" s="92" t="n"/>
    </row>
    <row r="55" ht="26" customHeight="1">
      <c r="B55" s="50" t="inlineStr">
        <is>
          <t>No.</t>
        </is>
      </c>
      <c r="C55" s="50" t="inlineStr">
        <is>
          <t>リスク</t>
        </is>
      </c>
      <c r="D55" s="53" t="n"/>
      <c r="E55" s="53" t="n"/>
      <c r="F55" s="50" t="inlineStr">
        <is>
          <t>影響</t>
        </is>
      </c>
      <c r="G55" s="53" t="n"/>
      <c r="H55" s="53" t="n"/>
      <c r="I55" s="50" t="inlineStr">
        <is>
          <t>対応（対策）</t>
        </is>
      </c>
      <c r="J55" s="53" t="n"/>
      <c r="K55" s="53" t="n"/>
      <c r="L55" s="53" t="n"/>
      <c r="M55" s="50" t="inlineStr">
        <is>
          <t>発生可能性</t>
        </is>
      </c>
      <c r="N55" s="53" t="n"/>
      <c r="O55" s="50" t="inlineStr">
        <is>
          <t>影響度</t>
        </is>
      </c>
      <c r="P55" s="53" t="n"/>
      <c r="Q55" s="50" t="inlineStr">
        <is>
          <t>対応期限</t>
        </is>
      </c>
      <c r="R55" s="53" t="n"/>
      <c r="S55" s="50" t="inlineStr">
        <is>
          <t>対応状況</t>
        </is>
      </c>
      <c r="T55" s="53" t="n"/>
    </row>
    <row r="56" ht="34" customHeight="1">
      <c r="B56" s="141" t="n">
        <v>1</v>
      </c>
      <c r="C56" s="142" t="inlineStr">
        <is>
          <t>8月中に必要人数を確保できない</t>
        </is>
      </c>
      <c r="D56" s="127" t="n"/>
      <c r="E56" s="127" t="n"/>
      <c r="F56" s="142" t="inlineStr">
        <is>
          <t>10月100件完全移行が困難になる</t>
        </is>
      </c>
      <c r="G56" s="127" t="n"/>
      <c r="H56" s="127" t="n"/>
      <c r="I56" s="142" t="inlineStr">
        <is>
          <t>アサイン状況を最優先で確認し、必要に応じて複数名体制へ変更</t>
        </is>
      </c>
      <c r="J56" s="127" t="n"/>
      <c r="K56" s="127" t="n"/>
      <c r="L56" s="127" t="n"/>
      <c r="M56" s="143" t="inlineStr">
        <is>
          <t>高</t>
        </is>
      </c>
      <c r="N56" s="125" t="n"/>
      <c r="O56" s="143" t="inlineStr">
        <is>
          <t>大</t>
        </is>
      </c>
      <c r="P56" s="125" t="n"/>
      <c r="Q56" s="86" t="n">
        <v>46264</v>
      </c>
      <c r="R56" s="125" t="n"/>
      <c r="S56" s="143" t="inlineStr">
        <is>
          <t>未対応</t>
        </is>
      </c>
      <c r="T56" s="125" t="n"/>
    </row>
    <row r="57" ht="34" customHeight="1">
      <c r="B57" s="144" t="n">
        <v>2</v>
      </c>
      <c r="C57" s="145" t="inlineStr">
        <is>
          <t>1案件あたりの実工数が想定を上回る</t>
        </is>
      </c>
      <c r="D57" s="146" t="n"/>
      <c r="E57" s="146" t="n"/>
      <c r="F57" s="145" t="inlineStr">
        <is>
          <t>週間引き継ぎ件数未達</t>
        </is>
      </c>
      <c r="G57" s="146" t="n"/>
      <c r="H57" s="146" t="n"/>
      <c r="I57" s="145" t="inlineStr">
        <is>
          <t>初期10～30案件の実績から平均工数を再計算し、計画を修正</t>
        </is>
      </c>
      <c r="J57" s="146" t="n"/>
      <c r="K57" s="146" t="n"/>
      <c r="L57" s="146" t="n"/>
      <c r="M57" s="143" t="inlineStr">
        <is>
          <t>中</t>
        </is>
      </c>
      <c r="N57" s="125" t="n"/>
      <c r="O57" s="143" t="inlineStr">
        <is>
          <t>大</t>
        </is>
      </c>
      <c r="P57" s="125" t="n"/>
      <c r="Q57" s="86" t="n">
        <v>46271</v>
      </c>
      <c r="R57" s="125" t="n"/>
      <c r="S57" s="143" t="inlineStr">
        <is>
          <t>未対応</t>
        </is>
      </c>
      <c r="T57" s="125" t="n"/>
    </row>
    <row r="58" ht="34" customHeight="1">
      <c r="B58" s="141" t="n">
        <v>3</v>
      </c>
      <c r="C58" s="142" t="inlineStr">
        <is>
          <t>顧客ごとの例外運用が多い</t>
        </is>
      </c>
      <c r="D58" s="127" t="n"/>
      <c r="E58" s="127" t="n"/>
      <c r="F58" s="142" t="inlineStr">
        <is>
          <t>担当者の習熟に時間がかかる</t>
        </is>
      </c>
      <c r="G58" s="127" t="n"/>
      <c r="H58" s="127" t="n"/>
      <c r="I58" s="142" t="inlineStr">
        <is>
          <t>案件をA・B・Cで難易度分類し、C案件を早めに洗い出す</t>
        </is>
      </c>
      <c r="J58" s="127" t="n"/>
      <c r="K58" s="127" t="n"/>
      <c r="L58" s="127" t="n"/>
      <c r="M58" s="143" t="inlineStr">
        <is>
          <t>高</t>
        </is>
      </c>
      <c r="N58" s="125" t="n"/>
      <c r="O58" s="143" t="inlineStr">
        <is>
          <t>中</t>
        </is>
      </c>
      <c r="P58" s="125" t="n"/>
      <c r="Q58" s="86" t="n">
        <v>46264</v>
      </c>
      <c r="R58" s="125" t="n"/>
      <c r="S58" s="143" t="inlineStr">
        <is>
          <t>未対応</t>
        </is>
      </c>
      <c r="T58" s="125" t="n"/>
    </row>
    <row r="59" ht="34" customHeight="1">
      <c r="B59" s="144" t="n">
        <v>4</v>
      </c>
      <c r="C59" s="145" t="inlineStr">
        <is>
          <t>Word版チェックリストのExcel移行が遅れる</t>
        </is>
      </c>
      <c r="D59" s="146" t="n"/>
      <c r="E59" s="146" t="n"/>
      <c r="F59" s="145" t="inlineStr">
        <is>
          <t>引き継ぎ効率低下</t>
        </is>
      </c>
      <c r="G59" s="146" t="n"/>
      <c r="H59" s="146" t="n"/>
      <c r="I59" s="145" t="inlineStr">
        <is>
          <t>引き継ぎ対象案件を優先してExcel化</t>
        </is>
      </c>
      <c r="J59" s="146" t="n"/>
      <c r="K59" s="146" t="n"/>
      <c r="L59" s="146" t="n"/>
      <c r="M59" s="143" t="inlineStr">
        <is>
          <t>中</t>
        </is>
      </c>
      <c r="N59" s="125" t="n"/>
      <c r="O59" s="143" t="inlineStr">
        <is>
          <t>中</t>
        </is>
      </c>
      <c r="P59" s="125" t="n"/>
      <c r="Q59" s="86" t="n">
        <v>46285</v>
      </c>
      <c r="R59" s="125" t="n"/>
      <c r="S59" s="143" t="inlineStr">
        <is>
          <t>未対応</t>
        </is>
      </c>
      <c r="T59" s="125" t="n"/>
    </row>
    <row r="60" ht="34" customHeight="1">
      <c r="B60" s="141" t="n">
        <v>5</v>
      </c>
      <c r="C60" s="142" t="inlineStr">
        <is>
          <t>ID、PW、各システム権限が不足</t>
        </is>
      </c>
      <c r="D60" s="127" t="n"/>
      <c r="E60" s="127" t="n"/>
      <c r="F60" s="142" t="inlineStr">
        <is>
          <t>実案件を担当できない</t>
        </is>
      </c>
      <c r="G60" s="127" t="n"/>
      <c r="H60" s="127" t="n"/>
      <c r="I60" s="142" t="inlineStr">
        <is>
          <t>9月前半までではなく、引き継ぎ開始時点で必要権限を確認</t>
        </is>
      </c>
      <c r="J60" s="127" t="n"/>
      <c r="K60" s="127" t="n"/>
      <c r="L60" s="127" t="n"/>
      <c r="M60" s="143" t="inlineStr">
        <is>
          <t>高</t>
        </is>
      </c>
      <c r="N60" s="125" t="n"/>
      <c r="O60" s="143" t="inlineStr">
        <is>
          <t>大</t>
        </is>
      </c>
      <c r="P60" s="125" t="n"/>
      <c r="Q60" s="86" t="n">
        <v>46278</v>
      </c>
      <c r="R60" s="125" t="n"/>
      <c r="S60" s="143" t="inlineStr">
        <is>
          <t>未対応</t>
        </is>
      </c>
      <c r="T60" s="125" t="n"/>
    </row>
    <row r="61" ht="34" customHeight="1">
      <c r="B61" s="144" t="n">
        <v>6</v>
      </c>
      <c r="C61" s="145" t="inlineStr">
        <is>
          <t>9月末に未引き継ぎ案件が残る</t>
        </is>
      </c>
      <c r="D61" s="146" t="n"/>
      <c r="E61" s="146" t="n"/>
      <c r="F61" s="145" t="inlineStr">
        <is>
          <t>10月完全移行不可</t>
        </is>
      </c>
      <c r="G61" s="146" t="n"/>
      <c r="H61" s="146" t="n"/>
      <c r="I61" s="145" t="inlineStr">
        <is>
          <t>9月21日～27日までに100件引き継ぎ完了を必須条件とし、9月28日～30日はバッファ期間とする</t>
        </is>
      </c>
      <c r="J61" s="146" t="n"/>
      <c r="K61" s="146" t="n"/>
      <c r="L61" s="146" t="n"/>
      <c r="M61" s="143" t="inlineStr">
        <is>
          <t>中</t>
        </is>
      </c>
      <c r="N61" s="125" t="n"/>
      <c r="O61" s="143" t="inlineStr">
        <is>
          <t>大</t>
        </is>
      </c>
      <c r="P61" s="125" t="n"/>
      <c r="Q61" s="86" t="n">
        <v>46292</v>
      </c>
      <c r="R61" s="125" t="n"/>
      <c r="S61" s="143" t="inlineStr">
        <is>
          <t>未対応</t>
        </is>
      </c>
      <c r="T61" s="125" t="n"/>
    </row>
    <row r="63" ht="22" customHeight="1">
      <c r="A63" s="91" t="inlineStr">
        <is>
          <t>⑥　重要な管理ルール（社内・クライアント共通の合意事項）</t>
        </is>
      </c>
      <c r="B63" s="92" t="n"/>
      <c r="C63" s="92" t="n"/>
      <c r="D63" s="92" t="n"/>
      <c r="E63" s="92" t="n"/>
      <c r="F63" s="92" t="n"/>
      <c r="G63" s="92" t="n"/>
      <c r="H63" s="92" t="n"/>
      <c r="I63" s="92" t="n"/>
      <c r="J63" s="92" t="n"/>
      <c r="K63" s="92" t="n"/>
      <c r="L63" s="92" t="n"/>
      <c r="M63" s="92" t="n"/>
      <c r="N63" s="92" t="n"/>
      <c r="O63" s="92" t="n"/>
      <c r="P63" s="92" t="n"/>
      <c r="Q63" s="92" t="n"/>
      <c r="R63" s="92" t="n"/>
      <c r="S63" s="92" t="n"/>
      <c r="T63" s="92" t="n"/>
    </row>
    <row r="64" ht="42" customHeight="1">
      <c r="A64" s="30" t="inlineStr">
        <is>
          <t>【「引き継ぎ完了」の定義】　単に業務説明を受けた状態は「引き継ぎ完了」ではありません。以下すべてを確認できた案件のみを「引き継ぎ完了」とします。
　①業務内容理解　②勤怠情報取得可能　③給与計算可能　④チェックリスト更新可能　⑤顧客対応方法理解　⑥納品方法理解　⑦進捗管理更新可能　⑧担当者確定</t>
        </is>
      </c>
      <c r="B64" s="11" t="n"/>
      <c r="C64" s="11" t="n"/>
      <c r="D64" s="11" t="n"/>
      <c r="E64" s="11" t="n"/>
      <c r="F64" s="11" t="n"/>
      <c r="G64" s="11" t="n"/>
      <c r="H64" s="11" t="n"/>
      <c r="I64" s="11" t="n"/>
      <c r="J64" s="11" t="n"/>
      <c r="K64" s="11" t="n"/>
      <c r="L64" s="11" t="n"/>
      <c r="M64" s="11" t="n"/>
      <c r="N64" s="11" t="n"/>
      <c r="O64" s="11" t="n"/>
      <c r="P64" s="11" t="n"/>
      <c r="Q64" s="11" t="n"/>
      <c r="R64" s="11" t="n"/>
      <c r="S64" s="11" t="n"/>
      <c r="T64" s="11" t="n"/>
    </row>
    <row r="65" ht="26" customHeight="1">
      <c r="A65" s="31" t="inlineStr">
        <is>
          <t>【判定ルール①】2026年9月27日時点で100件の引き継ぎが完了していない場合、10月1日の完全移行に対して「リスクあり」と判定します（上部②に自動表示）。</t>
        </is>
      </c>
      <c r="B65" s="32" t="n"/>
      <c r="C65" s="32" t="n"/>
      <c r="D65" s="32" t="n"/>
      <c r="E65" s="32" t="n"/>
      <c r="F65" s="32" t="n"/>
      <c r="G65" s="32" t="n"/>
      <c r="H65" s="32" t="n"/>
      <c r="I65" s="32" t="n"/>
      <c r="J65" s="32" t="n"/>
      <c r="K65" s="32" t="n"/>
      <c r="L65" s="32" t="n"/>
      <c r="M65" s="32" t="n"/>
      <c r="N65" s="32" t="n"/>
      <c r="O65" s="32" t="n"/>
      <c r="P65" s="32" t="n"/>
      <c r="Q65" s="32" t="n"/>
      <c r="R65" s="32" t="n"/>
      <c r="S65" s="32" t="n"/>
      <c r="T65" s="32" t="n"/>
    </row>
    <row r="66" ht="26" customHeight="1">
      <c r="A66" s="31" t="inlineStr">
        <is>
          <t>【判定ルール②】2026年8月30日時点で必要な3～4名程度の運用体制が確保できていない場合、10月完全移行について「要再計画」と表示します（上部②に自動表示）。</t>
        </is>
      </c>
      <c r="B66" s="32" t="n"/>
      <c r="C66" s="32" t="n"/>
      <c r="D66" s="32" t="n"/>
      <c r="E66" s="32" t="n"/>
      <c r="F66" s="32" t="n"/>
      <c r="G66" s="32" t="n"/>
      <c r="H66" s="32" t="n"/>
      <c r="I66" s="32" t="n"/>
      <c r="J66" s="32" t="n"/>
      <c r="K66" s="32" t="n"/>
      <c r="L66" s="32" t="n"/>
      <c r="M66" s="32" t="n"/>
      <c r="N66" s="32" t="n"/>
      <c r="O66" s="32" t="n"/>
      <c r="P66" s="32" t="n"/>
      <c r="Q66" s="32" t="n"/>
      <c r="R66" s="32" t="n"/>
      <c r="S66" s="32" t="n"/>
      <c r="T66" s="32" t="n"/>
    </row>
    <row r="67" ht="26" customHeight="1">
      <c r="A67" s="33" t="inlineStr">
        <is>
          <t>【スケジュールの考え方】9月末に引き継ぎを開始するのではなく、9月第4週（～9/27）までに100案件の引き継ぎを完了させ、9月28日～30日は新規引き継ぎを行わず、修正・確認・リハーサルのバッファ期間として使用します。</t>
        </is>
      </c>
      <c r="B67" s="34" t="n"/>
      <c r="C67" s="34" t="n"/>
      <c r="D67" s="34" t="n"/>
      <c r="E67" s="34" t="n"/>
      <c r="F67" s="34" t="n"/>
      <c r="G67" s="34" t="n"/>
      <c r="H67" s="34" t="n"/>
      <c r="I67" s="34" t="n"/>
      <c r="J67" s="34" t="n"/>
      <c r="K67" s="34" t="n"/>
      <c r="L67" s="34" t="n"/>
      <c r="M67" s="34" t="n"/>
      <c r="N67" s="34" t="n"/>
      <c r="O67" s="34" t="n"/>
      <c r="P67" s="34" t="n"/>
      <c r="Q67" s="34" t="n"/>
      <c r="R67" s="34" t="n"/>
      <c r="S67" s="34" t="n"/>
      <c r="T67" s="34" t="n"/>
    </row>
    <row r="68" ht="26" customHeight="1">
      <c r="A68" s="147" t="inlineStr">
        <is>
          <t>【計画値の取り扱い】想定総工数480時間／1名あたり約120時間／週20～25時間稼働／4名体制／週間引き継ぎ件数は、いずれも現時点の計画値・試算値です。確定実績ではないため、初期10～30案件の実績が出た段階で平均工数を再計算し、計画を見直してください。</t>
        </is>
      </c>
      <c r="B68" s="148" t="n"/>
      <c r="C68" s="148" t="n"/>
      <c r="D68" s="148" t="n"/>
      <c r="E68" s="148" t="n"/>
      <c r="F68" s="148" t="n"/>
      <c r="G68" s="148" t="n"/>
      <c r="H68" s="148" t="n"/>
      <c r="I68" s="148" t="n"/>
      <c r="J68" s="148" t="n"/>
      <c r="K68" s="148" t="n"/>
      <c r="L68" s="148" t="n"/>
      <c r="M68" s="148" t="n"/>
      <c r="N68" s="148" t="n"/>
      <c r="O68" s="148" t="n"/>
      <c r="P68" s="148" t="n"/>
      <c r="Q68" s="148" t="n"/>
      <c r="R68" s="148" t="n"/>
      <c r="S68" s="148" t="n"/>
      <c r="T68" s="148" t="n"/>
    </row>
    <row r="69" ht="40" customHeight="1">
      <c r="A69" s="35" t="inlineStr">
        <is>
          <t>【運用対象業務】顧客からの情報取得・連絡対応／勤怠データ取得／チェックリスト更新／給与計算／内容確認／顧客への納品／進捗管理表の更新　の一連を弊社側で運用します。使用システムは案件ごとに異なります（セルズ給与・freee・マネーフォワード・KING OF TIME・Excel・タイムカード・顧客独自フォーマット等）。チェックリストはWord版とExcel版が混在しており、今後Excel版へ統一します。</t>
        </is>
      </c>
      <c r="B69" s="36" t="n"/>
      <c r="C69" s="36" t="n"/>
      <c r="D69" s="36" t="n"/>
      <c r="E69" s="36" t="n"/>
      <c r="F69" s="36" t="n"/>
      <c r="G69" s="36" t="n"/>
      <c r="H69" s="36" t="n"/>
      <c r="I69" s="36" t="n"/>
      <c r="J69" s="36" t="n"/>
      <c r="K69" s="36" t="n"/>
      <c r="L69" s="36" t="n"/>
      <c r="M69" s="36" t="n"/>
      <c r="N69" s="36" t="n"/>
      <c r="O69" s="36" t="n"/>
      <c r="P69" s="36" t="n"/>
      <c r="Q69" s="36" t="n"/>
      <c r="R69" s="36" t="n"/>
      <c r="S69" s="36" t="n"/>
      <c r="T69" s="36" t="n"/>
    </row>
    <row r="70" ht="22" customHeight="1">
      <c r="A70" s="35" t="inlineStr">
        <is>
          <t>【凡例】　薄い黄色セル＝手入力　／　薄いグレーセル＝自動計算（数式）　／　白セル＝計画値（固定）　／　赤色表示＝警告・遅延・リスクのみに使用</t>
        </is>
      </c>
      <c r="B70" s="36" t="n"/>
      <c r="C70" s="36" t="n"/>
      <c r="D70" s="36" t="n"/>
      <c r="E70" s="36" t="n"/>
      <c r="F70" s="36" t="n"/>
      <c r="G70" s="36" t="n"/>
      <c r="H70" s="36" t="n"/>
      <c r="I70" s="36" t="n"/>
      <c r="J70" s="36" t="n"/>
      <c r="K70" s="36" t="n"/>
      <c r="L70" s="36" t="n"/>
      <c r="M70" s="36" t="n"/>
      <c r="N70" s="36" t="n"/>
      <c r="O70" s="36" t="n"/>
      <c r="P70" s="36" t="n"/>
      <c r="Q70" s="36" t="n"/>
      <c r="R70" s="36" t="n"/>
      <c r="S70" s="36" t="n"/>
      <c r="T70" s="36" t="n"/>
    </row>
  </sheetData>
  <mergeCells count="194">
    <mergeCell ref="F29:G29"/>
    <mergeCell ref="M59:N59"/>
    <mergeCell ref="F25:G25"/>
    <mergeCell ref="A64:T64"/>
    <mergeCell ref="R28:S28"/>
    <mergeCell ref="J28:K28"/>
    <mergeCell ref="B31:C31"/>
    <mergeCell ref="L28:M28"/>
    <mergeCell ref="T28"/>
    <mergeCell ref="D31:E31"/>
    <mergeCell ref="C60:E60"/>
    <mergeCell ref="Q55:R55"/>
    <mergeCell ref="M60:N60"/>
    <mergeCell ref="R30:S30"/>
    <mergeCell ref="T30"/>
    <mergeCell ref="Q7:T7"/>
    <mergeCell ref="S57:T57"/>
    <mergeCell ref="T29"/>
    <mergeCell ref="F61:H61"/>
    <mergeCell ref="L29:M29"/>
    <mergeCell ref="B56"/>
    <mergeCell ref="C57:E57"/>
    <mergeCell ref="N29:O29"/>
    <mergeCell ref="A18:T18"/>
    <mergeCell ref="G8:J8"/>
    <mergeCell ref="B12:E12"/>
    <mergeCell ref="S19:T19"/>
    <mergeCell ref="O55:P55"/>
    <mergeCell ref="L12:O12"/>
    <mergeCell ref="B19:I19"/>
    <mergeCell ref="A2:T2"/>
    <mergeCell ref="J31:K31"/>
    <mergeCell ref="A33:T33"/>
    <mergeCell ref="L31:M31"/>
    <mergeCell ref="N31:O31"/>
    <mergeCell ref="G10:J10"/>
    <mergeCell ref="B14:E14"/>
    <mergeCell ref="O60:P60"/>
    <mergeCell ref="B24:C24"/>
    <mergeCell ref="L14:O14"/>
    <mergeCell ref="D24:E24"/>
    <mergeCell ref="I58:L58"/>
    <mergeCell ref="N24:O24"/>
    <mergeCell ref="T26"/>
    <mergeCell ref="P24:Q24"/>
    <mergeCell ref="B26:C26"/>
    <mergeCell ref="S60:T60"/>
    <mergeCell ref="D26:E26"/>
    <mergeCell ref="N26:O26"/>
    <mergeCell ref="P26:Q26"/>
    <mergeCell ref="B25:C25"/>
    <mergeCell ref="S59:T59"/>
    <mergeCell ref="N25:O25"/>
    <mergeCell ref="Q11:T11"/>
    <mergeCell ref="P25:Q25"/>
    <mergeCell ref="B27:C27"/>
    <mergeCell ref="C59:E59"/>
    <mergeCell ref="S61:T61"/>
    <mergeCell ref="H25:I25"/>
    <mergeCell ref="F30:G30"/>
    <mergeCell ref="R25:S25"/>
    <mergeCell ref="A70:T70"/>
    <mergeCell ref="C61:E61"/>
    <mergeCell ref="G12:J12"/>
    <mergeCell ref="B16:E16"/>
    <mergeCell ref="Q12:T12"/>
    <mergeCell ref="L16:O16"/>
    <mergeCell ref="J27:K27"/>
    <mergeCell ref="A54:T54"/>
    <mergeCell ref="B59"/>
    <mergeCell ref="L30:M30"/>
    <mergeCell ref="I61:L61"/>
    <mergeCell ref="B29:C29"/>
    <mergeCell ref="I57:L57"/>
    <mergeCell ref="N28:O28"/>
    <mergeCell ref="F31:G31"/>
    <mergeCell ref="G7:J7"/>
    <mergeCell ref="B11:E11"/>
    <mergeCell ref="F28:G28"/>
    <mergeCell ref="P28:Q28"/>
    <mergeCell ref="K20:R21"/>
    <mergeCell ref="H28:I28"/>
    <mergeCell ref="O56:P56"/>
    <mergeCell ref="O58:P58"/>
    <mergeCell ref="N30:O30"/>
    <mergeCell ref="I56:L56"/>
    <mergeCell ref="P30:Q30"/>
    <mergeCell ref="D29:E29"/>
    <mergeCell ref="A63:T63"/>
    <mergeCell ref="O57:P57"/>
    <mergeCell ref="Q57:R57"/>
    <mergeCell ref="F59:H59"/>
    <mergeCell ref="F55:H55"/>
    <mergeCell ref="A68:T68"/>
    <mergeCell ref="J29:K29"/>
    <mergeCell ref="C55:E55"/>
    <mergeCell ref="M55:N55"/>
    <mergeCell ref="B6:E6"/>
    <mergeCell ref="B15:E15"/>
    <mergeCell ref="L6:O6"/>
    <mergeCell ref="G16:J16"/>
    <mergeCell ref="H31:I31"/>
    <mergeCell ref="I59:L59"/>
    <mergeCell ref="T27"/>
    <mergeCell ref="A1:T1"/>
    <mergeCell ref="I60:L60"/>
    <mergeCell ref="J24:K24"/>
    <mergeCell ref="L24:M24"/>
    <mergeCell ref="D27:E27"/>
    <mergeCell ref="B20:I21"/>
    <mergeCell ref="B7:E7"/>
    <mergeCell ref="F58:H58"/>
    <mergeCell ref="A65:T65"/>
    <mergeCell ref="P27:Q27"/>
    <mergeCell ref="L7:O7"/>
    <mergeCell ref="G11:J11"/>
    <mergeCell ref="R27:S27"/>
    <mergeCell ref="J26:K26"/>
    <mergeCell ref="L26:M26"/>
    <mergeCell ref="F60:H60"/>
    <mergeCell ref="O59:P59"/>
    <mergeCell ref="Q59:R59"/>
    <mergeCell ref="F57:H57"/>
    <mergeCell ref="J25:K25"/>
    <mergeCell ref="B28:C28"/>
    <mergeCell ref="L25:M25"/>
    <mergeCell ref="T25"/>
    <mergeCell ref="D28:E28"/>
    <mergeCell ref="Q14:T14"/>
    <mergeCell ref="O61:P61"/>
    <mergeCell ref="B61"/>
    <mergeCell ref="Q61:R61"/>
    <mergeCell ref="D25:E25"/>
    <mergeCell ref="A23:T23"/>
    <mergeCell ref="S55:T55"/>
    <mergeCell ref="B30:C30"/>
    <mergeCell ref="L8:O8"/>
    <mergeCell ref="D30:E30"/>
    <mergeCell ref="K19:R19"/>
    <mergeCell ref="G15:J15"/>
    <mergeCell ref="L10:O10"/>
    <mergeCell ref="Q6:T6"/>
    <mergeCell ref="Q15:T15"/>
    <mergeCell ref="H30:I30"/>
    <mergeCell ref="M58:N58"/>
    <mergeCell ref="Q56:R56"/>
    <mergeCell ref="T31"/>
    <mergeCell ref="A67:T67"/>
    <mergeCell ref="S56:T56"/>
    <mergeCell ref="P29:Q29"/>
    <mergeCell ref="H29:I29"/>
    <mergeCell ref="R29:S29"/>
    <mergeCell ref="B55"/>
    <mergeCell ref="C56:E56"/>
    <mergeCell ref="S58:T58"/>
    <mergeCell ref="P31:Q31"/>
    <mergeCell ref="L11:O11"/>
    <mergeCell ref="R31:S31"/>
    <mergeCell ref="J30:K30"/>
    <mergeCell ref="F24:G24"/>
    <mergeCell ref="G14:J14"/>
    <mergeCell ref="Q16:T16"/>
    <mergeCell ref="Q58:R58"/>
    <mergeCell ref="R24:S24"/>
    <mergeCell ref="S20:T21"/>
    <mergeCell ref="A69:T69"/>
    <mergeCell ref="F56:H56"/>
    <mergeCell ref="T24"/>
    <mergeCell ref="F26:G26"/>
    <mergeCell ref="A66:T66"/>
    <mergeCell ref="Q60:R60"/>
    <mergeCell ref="R26:S26"/>
    <mergeCell ref="B58"/>
    <mergeCell ref="Q8:T8"/>
    <mergeCell ref="A3:T3"/>
    <mergeCell ref="F27:G27"/>
    <mergeCell ref="L15:O15"/>
    <mergeCell ref="B60"/>
    <mergeCell ref="Q10:T10"/>
    <mergeCell ref="H27:I27"/>
    <mergeCell ref="M61:N61"/>
    <mergeCell ref="A5:T5"/>
    <mergeCell ref="G6:J6"/>
    <mergeCell ref="B57"/>
    <mergeCell ref="C58:E58"/>
    <mergeCell ref="M57:N57"/>
    <mergeCell ref="B8:E8"/>
    <mergeCell ref="H24:I24"/>
    <mergeCell ref="L27:M27"/>
    <mergeCell ref="I55:L55"/>
    <mergeCell ref="N27:O27"/>
    <mergeCell ref="B10:E10"/>
    <mergeCell ref="M56:N56"/>
    <mergeCell ref="H26:I26"/>
  </mergeCells>
  <conditionalFormatting sqref="B20:I21">
    <cfRule type="expression" priority="1" dxfId="15">
      <formula>ISNUMBER(SEARCH("リスクあり",$B$20))+ISNUMBER(SEARCH("要再計画",$B$20))&gt;0</formula>
    </cfRule>
    <cfRule type="expression" priority="2" dxfId="16">
      <formula>ISNUMBER(SEARCH("OK：",$B$20))</formula>
    </cfRule>
    <cfRule type="expression" priority="3" dxfId="17">
      <formula>ISNUMBER(SEARCH("調整中",$B$20))+ISNUMBER(SEARCH("計画進行中",$B$20))&gt;0</formula>
    </cfRule>
  </conditionalFormatting>
  <conditionalFormatting sqref="K20:R21">
    <cfRule type="expression" priority="4" dxfId="15">
      <formula>ISNUMBER(SEARCH("リスクあり",$K$20))+ISNUMBER(SEARCH("要再計画",$K$20))&gt;0</formula>
    </cfRule>
    <cfRule type="expression" priority="5" dxfId="16">
      <formula>ISNUMBER(SEARCH("OK：",$K$20))</formula>
    </cfRule>
    <cfRule type="expression" priority="6" dxfId="17">
      <formula>ISNUMBER(SEARCH("調整中",$K$20))+ISNUMBER(SEARCH("計画進行中",$K$20))&gt;0</formula>
    </cfRule>
  </conditionalFormatting>
  <conditionalFormatting sqref="M56:N61">
    <cfRule type="cellIs" priority="7" operator="equal" dxfId="10">
      <formula>"高"</formula>
    </cfRule>
    <cfRule type="cellIs" priority="8" operator="equal" dxfId="9">
      <formula>"中"</formula>
    </cfRule>
    <cfRule type="cellIs" priority="9" operator="equal" dxfId="8">
      <formula>"低"</formula>
    </cfRule>
  </conditionalFormatting>
  <conditionalFormatting sqref="O56:P61">
    <cfRule type="cellIs" priority="10" operator="equal" dxfId="10">
      <formula>"大"</formula>
    </cfRule>
    <cfRule type="cellIs" priority="11" operator="equal" dxfId="9">
      <formula>"中"</formula>
    </cfRule>
    <cfRule type="cellIs" priority="12" operator="equal" dxfId="8">
      <formula>"小"</formula>
    </cfRule>
  </conditionalFormatting>
  <conditionalFormatting sqref="S56:T61">
    <cfRule type="cellIs" priority="13" operator="equal" dxfId="10">
      <formula>"未対応"</formula>
    </cfRule>
    <cfRule type="cellIs" priority="14" operator="equal" dxfId="18">
      <formula>"対応中"</formula>
    </cfRule>
    <cfRule type="cellIs" priority="15" operator="equal" dxfId="8">
      <formula>"対応済"</formula>
    </cfRule>
    <cfRule type="cellIs" priority="16" operator="equal" dxfId="9">
      <formula>"監視中"</formula>
    </cfRule>
  </conditionalFormatting>
  <dataValidations count="3">
    <dataValidation sqref="M56:M61" showDropDown="0" showInputMessage="0" showErrorMessage="0" allowBlank="1" type="list">
      <formula1>"高,中,低"</formula1>
    </dataValidation>
    <dataValidation sqref="O56:O61" showDropDown="0" showInputMessage="0" showErrorMessage="0" allowBlank="1" type="list">
      <formula1>"大,中,小"</formula1>
    </dataValidation>
    <dataValidation sqref="S56:S61" showDropDown="0" showInputMessage="0" showErrorMessage="0" allowBlank="1" type="list">
      <formula1>"未対応,対応中,対応済,監視中"</formula1>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移行プロジェクト事務局</dc:creator>
  <dc:title>給与計算100案件 10月完全移行 週間スケジュール</dc:title>
  <dc:description>2026/10/1 完全運用開始に向けた週間スケジュール・ガントチャート・案件進捗管理・KPI/リスク管理</dc:description>
  <dcterms:created xsi:type="dcterms:W3CDTF">2026-09-09T08:24:28Z</dcterms:created>
  <dcterms:modified xsi:type="dcterms:W3CDTF">2026-09-09T08:24:29Z</dcterms:modified>
</cp:coreProperties>
</file>